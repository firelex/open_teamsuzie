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75" windowWidth="29040" windowHeight="15720" tabRatio="600" firstSheet="0" activeTab="1" autoFilterDateGrouping="1"/>
  </bookViews>
  <sheets>
    <sheet name="Cover" sheetId="1" state="visible" r:id="rId1"/>
    <sheet name="PA" sheetId="2" state="visible" r:id="rId2"/>
    <sheet name="LBO" sheetId="3" state="visible" r:id="rId3"/>
    <sheet name="Output" sheetId="4" state="visible" r:id="rId4"/>
    <sheet name="Output for 5-pager" sheetId="5" state="visible" r:id="rId5"/>
    <sheet name="EO_calc" sheetId="6" state="visible" r:id="rId6"/>
    <sheet name="Inputs&gt;&gt;&gt;" sheetId="7" state="visible" r:id="rId7"/>
    <sheet name="Cases" sheetId="8" state="visible" r:id="rId8"/>
    <sheet name="Dec-25 LTM_P&amp;L" sheetId="9" state="visible" r:id="rId9"/>
    <sheet name="Dec-25 LTM_Cashflow" sheetId="10" state="visible" r:id="rId10"/>
    <sheet name="Consol P&amp;L" sheetId="11" state="visible" r:id="rId11"/>
    <sheet name="Monthly sales" sheetId="12" state="visible" r:id="rId12"/>
    <sheet name="Consol CF - Summary" sheetId="13" state="visible" r:id="rId13"/>
    <sheet name="Mar-26 LTM&gt;&gt;" sheetId="14" state="visible" r:id="rId14"/>
    <sheet name="Consol P&amp;L YTD" sheetId="15" state="visible" r:id="rId15"/>
    <sheet name="Consol Cashflow" sheetId="16" state="visible" r:id="rId16"/>
  </sheets>
  <externalReferences>
    <externalReference r:id="rId17"/>
  </externalReferences>
  <definedNames>
    <definedName name="anscount" hidden="1">1</definedName>
    <definedName name="CIQWBGuid" hidden="1">"62849233-62ee-44f9-9237-8f5497852b26"</definedName>
    <definedName name="CIQWBInfo" hidden="1">"{ ""CIQVersion"":""9.49.2423.4439"" }"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XTRA_ACC_ITEMS_BR" hidden="1">"c412"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>15000</definedName>
    <definedName name="IQ_MTD" hidden="1">800000</definedName>
    <definedName name="IQ_NAMES_REVISION_DATE_" hidden="1">45261.4013541667</definedName>
    <definedName name="IQ_NET_DEBT_ISSUED_BR" hidden="1">"c753"</definedName>
    <definedName name="IQ_NET_INT_INC_BR" hidden="1">"c765"</definedName>
    <definedName name="IQ_NTM">6000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_xlnm.Print_Area" localSheetId="0">'Cover'!$A$1:$J$41</definedName>
    <definedName name="_xlnm.Print_Area" localSheetId="2">'LBO'!$B$3:$T$559,'LBO'!$B$506:$H$578</definedName>
    <definedName name="CIQWBGuid" localSheetId="4" hidden="1">"cce5f156-d03b-42ef-a47a-57885d534982"</definedName>
    <definedName name="_xlnm.Print_Area" localSheetId="4">'Output for 5-pager'!$B$5:$AB$69</definedName>
    <definedName name="_xlnm.Print_Area" localSheetId="10">'Consol P&amp;L'!$B$1:$AC$91</definedName>
  </definedNames>
  <calcPr calcId="191029" fullCalcOnLoad="1"/>
</workbook>
</file>

<file path=xl/styles.xml><?xml version="1.0" encoding="utf-8"?>
<styleSheet xmlns="http://schemas.openxmlformats.org/spreadsheetml/2006/main">
  <numFmts count="78">
    <numFmt numFmtId="164" formatCode="d\-mmm\-yy"/>
    <numFmt numFmtId="165" formatCode="0.0"/>
    <numFmt numFmtId="166" formatCode="0.0%"/>
    <numFmt numFmtId="167" formatCode="0.0\x"/>
    <numFmt numFmtId="168" formatCode="0&quot;mths to&quot;"/>
    <numFmt numFmtId="169" formatCode="#,##0.0;\(#,##0.0\)"/>
    <numFmt numFmtId="170" formatCode="0.0000000"/>
    <numFmt numFmtId="171" formatCode="#,##0.000"/>
    <numFmt numFmtId="172" formatCode="#,##0.0;\(#,##0.0\);\-"/>
    <numFmt numFmtId="173" formatCode="#,##0.0\ ;\(#,##0.0\);\ \-\ "/>
    <numFmt numFmtId="174" formatCode="#,##0.0"/>
    <numFmt numFmtId="175" formatCode="0&quot;yrs&quot;"/>
    <numFmt numFmtId="176" formatCode="0.0\x;\(0.0\x\);\-"/>
    <numFmt numFmtId="177" formatCode="#,##0\ ;"/>
    <numFmt numFmtId="178" formatCode="&quot;o/w &quot;"/>
    <numFmt numFmtId="179" formatCode="0.000\x"/>
    <numFmt numFmtId="180" formatCode="#,##0;\(#,##0\);\-"/>
    <numFmt numFmtId="181" formatCode="yyyy"/>
    <numFmt numFmtId="182" formatCode="0.0%;\(0.0%\);\-"/>
    <numFmt numFmtId="183" formatCode="#,##0.0_);\ \(#,##0.0\)"/>
    <numFmt numFmtId="184" formatCode="#,##0_);\(#,##0\);\-_);@_)"/>
    <numFmt numFmtId="185" formatCode="#,##0.0%;\(#,##0.0%\);\-"/>
    <numFmt numFmtId="186" formatCode="#,##0.0\x_);\(#,##0.0\x\);\-_);@_)"/>
    <numFmt numFmtId="187" formatCode="#,##0.0\x;\(#,##0.0\x\);\-;@"/>
    <numFmt numFmtId="188" formatCode="[Red]&quot;Error&quot;;[Red]&quot;Error&quot;;&quot;OK&quot;"/>
    <numFmt numFmtId="189" formatCode="0.0&quot;x&quot;"/>
    <numFmt numFmtId="190" formatCode="0.0;\(0.0\);&quot;-&quot;"/>
    <numFmt numFmtId="191" formatCode="0.0%;\(0.0%\);&quot;-&quot;"/>
    <numFmt numFmtId="192" formatCode="0.0000"/>
    <numFmt numFmtId="193" formatCode="&quot;£&quot;#,##0.00"/>
    <numFmt numFmtId="194" formatCode="0.0000%"/>
    <numFmt numFmtId="195" formatCode="0.0%;\(0.0%\)"/>
    <numFmt numFmtId="196" formatCode="#,##0.00000000000000"/>
    <numFmt numFmtId="197" formatCode="0%;\(0%\)&quot;-&quot;"/>
    <numFmt numFmtId="198" formatCode="0.0\x;\(0.0\x\)"/>
    <numFmt numFmtId="199" formatCode="#,##0.0\x;\(#,##0.0\)\x;\ \-\ "/>
    <numFmt numFmtId="200" formatCode="0.0&quot;x&quot;;\(0.0&quot;x&quot;\);&quot;-&quot;"/>
    <numFmt numFmtId="201" formatCode="#,##0.00000;\(#,##0.00000\);\-"/>
    <numFmt numFmtId="202" formatCode="#,##0.0000;\(#,##0.0000\);\-"/>
    <numFmt numFmtId="203" formatCode="0.00;\(0.00\);&quot;-&quot;"/>
    <numFmt numFmtId="204" formatCode="#,##0;\(#,##0\);&quot;-&quot;"/>
    <numFmt numFmtId="205" formatCode="0%;\(0%\);&quot;-&quot;"/>
    <numFmt numFmtId="206" formatCode="#,##0;[Red]\(#,##0\)"/>
    <numFmt numFmtId="207" formatCode="_(* #,##0_);_(* \(#,##0\);_(* &quot;-&quot;??_);_(@_)"/>
    <numFmt numFmtId="208" formatCode="_-* #,##0.00_-;\-* #,##0.00_-;_-* &quot;-&quot;??_-;_-@_-"/>
    <numFmt numFmtId="209" formatCode="#,##0.000000"/>
    <numFmt numFmtId="210" formatCode="_-* #,##0.0_-;\-* #,##0.0_-;_-* &quot;-&quot;??_-;_-@_-"/>
    <numFmt numFmtId="211" formatCode="#,##0.00;\(#,##0.00\);\-"/>
    <numFmt numFmtId="212" formatCode="#,##0.0;\(#,##0.0\);&quot;-&quot;"/>
    <numFmt numFmtId="213" formatCode="_-* #,##0.0_-;\-* #,##0.0_-;_-* &quot;-&quot;?_-;_-@_-"/>
    <numFmt numFmtId="214" formatCode="#,##0.0,,;\ \(#,##0.0,,\)"/>
    <numFmt numFmtId="215" formatCode="_-* #,##0_-;\-* #,##0_-;_-* &quot;-&quot;??_-;_-@_-"/>
    <numFmt numFmtId="216" formatCode="#,##0.00;[Red]\(#,##0.00\)"/>
    <numFmt numFmtId="217" formatCode="#,##0,,;\ \(#,##0,,\)"/>
    <numFmt numFmtId="218" formatCode="#,##0.0,,;\(#,##0.0,,\)"/>
    <numFmt numFmtId="219" formatCode="dd\-mmm\-yyyy"/>
    <numFmt numFmtId="220" formatCode="[$-414]mmm\.\ yy;@"/>
    <numFmt numFmtId="221" formatCode="_(* #,##0_);_(* \(#,##0\);_(* &quot;-&quot;?_);@_)"/>
    <numFmt numFmtId="222" formatCode="#,##0;\(#,##0\)"/>
    <numFmt numFmtId="223" formatCode="_ * #,##0.00_ ;_ * \-#,##0.00_ ;_ * &quot;-&quot;??_ ;_ @_ "/>
    <numFmt numFmtId="224" formatCode="_-* #,##0.00\ _k_r_-;\-* #,##0.00\ _k_r_-;_-* &quot;-&quot;??\ _k_r_-;_-@_-"/>
    <numFmt numFmtId="225" formatCode="_(&quot;$&quot;* #,##0.00_);_(&quot;$&quot;* \(#,##0.00\);_(&quot;$&quot;* &quot;-&quot;??_);_(@_)"/>
    <numFmt numFmtId="226" formatCode="#,##0.0_);\(#,##0.0\)"/>
    <numFmt numFmtId="227" formatCode="_(* #,##0.0_%_);_(* \(#,##0.0_%\);_(* &quot; - &quot;_%_);_(@_)"/>
    <numFmt numFmtId="228" formatCode="_(* #,##0.0%_);_(* \(#,##0.0%\);_(* &quot; - &quot;\%_);_(@_)"/>
    <numFmt numFmtId="229" formatCode="_(* #,##0_);_(* \(#,##0\);_(* &quot; - &quot;_);_(@_)"/>
    <numFmt numFmtId="230" formatCode="_(* #,##0.0_);_(* \(#,##0.0\);_(* &quot; - &quot;_);_(@_)"/>
    <numFmt numFmtId="231" formatCode="_(* #,##0.00_);_(* \(#,##0.00\);_(* &quot; - &quot;_);_(@_)"/>
    <numFmt numFmtId="232" formatCode="_(* #,##0.000_);_(* \(#,##0.000\);_(* &quot; - &quot;_);_(@_)"/>
    <numFmt numFmtId="233" formatCode="#,##0;\-#,##0;&quot;&quot;"/>
    <numFmt numFmtId="234" formatCode="_(* #,##0_);_(* \(#,##0\);_(* &quot;-&quot;_);@_)"/>
    <numFmt numFmtId="235" formatCode="_(* #,##0.0_);_(* \(#,##0.0\);_(* &quot;-&quot;?_);@_)"/>
    <numFmt numFmtId="236" formatCode="0.0%_);\(0.0%\)"/>
    <numFmt numFmtId="237" formatCode="0%_);\(0%\)"/>
    <numFmt numFmtId="238" formatCode="_-* #,##0\ _k_r_-;\-* #,##0\ _k_r_-;_-* &quot;-&quot;\ _k_r_-;_-@_-"/>
    <numFmt numFmtId="239" formatCode="_-* #,##0\ &quot;kr&quot;_-;\-* #,##0\ &quot;kr&quot;_-;_-* &quot;-&quot;\ &quot;kr&quot;_-;_-@_-"/>
    <numFmt numFmtId="240" formatCode="&quot;L.&quot;\ #,##0;[Red]\-&quot;L.&quot;\ #,##0"/>
    <numFmt numFmtId="241" formatCode="#,##0.0\ \x\ ;\(#,##0.0\)\x\ ;\ \-\ "/>
  </numFmts>
  <fonts count="16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FF"/>
      <sz val="10"/>
    </font>
    <font>
      <name val="Arial"/>
      <family val="2"/>
      <color theme="1"/>
      <sz val="10"/>
    </font>
    <font>
      <name val="Arial"/>
      <family val="2"/>
      <i val="1"/>
      <sz val="10"/>
    </font>
    <font>
      <name val="Arial"/>
      <family val="2"/>
      <i val="1"/>
      <color theme="1"/>
      <sz val="10"/>
    </font>
    <font>
      <name val="Arial"/>
      <family val="2"/>
      <color indexed="9"/>
      <sz val="10"/>
    </font>
    <font>
      <name val="Arial"/>
      <family val="2"/>
      <i val="1"/>
      <color indexed="13"/>
      <sz val="10"/>
    </font>
    <font>
      <name val="Arial"/>
      <family val="2"/>
      <color indexed="13"/>
      <sz val="10"/>
    </font>
    <font>
      <name val="Arial"/>
      <family val="2"/>
      <b val="1"/>
      <i val="1"/>
      <sz val="9"/>
    </font>
    <font>
      <name val="Arial"/>
      <family val="2"/>
      <b val="1"/>
      <sz val="9"/>
    </font>
    <font>
      <name val="Arial"/>
      <family val="2"/>
      <sz val="8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Times New Roman"/>
      <family val="1"/>
      <sz val="8"/>
    </font>
    <font>
      <name val="Arial"/>
      <family val="2"/>
      <color rgb="FF9C0006"/>
      <sz val="9"/>
    </font>
    <font>
      <name val="Calibri"/>
      <family val="2"/>
      <color indexed="17"/>
      <sz val="11"/>
    </font>
    <font>
      <name val="Arial"/>
      <family val="2"/>
      <b val="1"/>
      <color indexed="24"/>
      <sz val="8"/>
    </font>
    <font>
      <name val="Arial"/>
      <family val="2"/>
      <sz val="9"/>
    </font>
    <font>
      <name val="Arial"/>
      <family val="2"/>
      <b val="1"/>
      <color indexed="24"/>
      <sz val="9"/>
    </font>
    <font>
      <name val="Arial"/>
      <family val="2"/>
      <b val="1"/>
      <color indexed="24"/>
      <sz val="11"/>
    </font>
    <font>
      <name val="Arial"/>
      <family val="2"/>
      <b val="1"/>
      <color rgb="FFFA7D00"/>
      <sz val="9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Arial"/>
      <family val="2"/>
      <sz val="12"/>
    </font>
    <font>
      <name val="Franklin Gothic Book"/>
      <family val="2"/>
      <color theme="1"/>
      <sz val="10"/>
    </font>
    <font>
      <name val="Calibri"/>
      <family val="2"/>
      <color indexed="20"/>
      <sz val="11"/>
    </font>
    <font>
      <name val="Calibri"/>
      <family val="2"/>
      <i val="1"/>
      <color rgb="FF7F7F7F"/>
      <sz val="9"/>
      <scheme val="minor"/>
    </font>
    <font>
      <name val="Times New Roman"/>
      <family val="1"/>
      <i val="1"/>
      <sz val="8"/>
    </font>
    <font>
      <name val="Times New Roman"/>
      <family val="1"/>
      <sz val="9"/>
    </font>
    <font>
      <name val="Times New Roman"/>
      <family val="1"/>
      <b val="1"/>
      <sz val="9"/>
      <u val="singleAccounting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Times New Roman"/>
      <family val="1"/>
      <b val="1"/>
      <i val="1"/>
      <sz val="9.5"/>
    </font>
    <font>
      <name val="Arial"/>
      <family val="2"/>
      <b val="1"/>
      <sz val="16"/>
    </font>
    <font>
      <name val="Arial"/>
      <family val="2"/>
      <color rgb="FF006100"/>
      <sz val="9"/>
    </font>
    <font>
      <name val="Calibri"/>
      <family val="2"/>
      <color indexed="62"/>
      <sz val="11"/>
    </font>
    <font>
      <name val="Tms Rmn"/>
      <sz val="12"/>
    </font>
    <font>
      <name val="Calibri"/>
      <family val="2"/>
      <color rgb="FF3F3F76"/>
      <sz val="9"/>
      <scheme val="minor"/>
    </font>
    <font>
      <name val="Times New Roman"/>
      <family val="1"/>
      <sz val="10"/>
    </font>
    <font>
      <name val="Calibri"/>
      <family val="2"/>
      <b val="1"/>
      <color indexed="9"/>
      <sz val="11"/>
    </font>
    <font>
      <name val="Times New Roman"/>
      <family val="1"/>
      <sz val="18"/>
    </font>
    <font>
      <name val="Times New Roman"/>
      <family val="1"/>
      <b val="1"/>
      <sz val="13"/>
    </font>
    <font>
      <name val="Times New Roman"/>
      <family val="1"/>
      <b val="1"/>
      <i val="1"/>
      <sz val="12"/>
    </font>
    <font>
      <name val="Times New Roman"/>
      <family val="1"/>
      <i val="1"/>
      <sz val="12"/>
    </font>
    <font>
      <name val="Times New Roman"/>
      <family val="1"/>
      <sz val="11"/>
    </font>
    <font>
      <name val="Calibri"/>
      <family val="2"/>
      <color rgb="FFFA7D00"/>
      <sz val="9"/>
      <scheme val="minor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Arial"/>
      <family val="2"/>
      <color rgb="FF9C6500"/>
      <sz val="9"/>
    </font>
    <font>
      <name val="Helv"/>
      <sz val="10"/>
    </font>
    <font>
      <name val="Calibri"/>
      <family val="2"/>
      <color theme="3"/>
      <sz val="11"/>
      <scheme val="minor"/>
    </font>
    <font>
      <name val="Calibri"/>
      <family val="2"/>
      <b val="1"/>
      <color rgb="FF3F3F3F"/>
      <sz val="9"/>
      <scheme val="minor"/>
    </font>
    <font>
      <name val="Cambria"/>
      <family val="2"/>
      <b val="1"/>
      <color indexed="56"/>
      <sz val="18"/>
    </font>
    <font>
      <name val="Calibri"/>
      <family val="2"/>
      <b val="1"/>
      <color theme="3"/>
      <sz val="9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Arial"/>
      <family val="2"/>
      <color indexed="8"/>
      <sz val="10"/>
    </font>
    <font>
      <name val="Calibri"/>
      <family val="2"/>
      <b val="1"/>
      <color indexed="8"/>
      <sz val="11"/>
    </font>
    <font>
      <name val="Cambria"/>
      <family val="2"/>
      <b val="1"/>
      <color theme="1"/>
      <sz val="9"/>
      <scheme val="major"/>
    </font>
    <font>
      <name val="MS Sans Serif"/>
      <family val="2"/>
      <sz val="10"/>
    </font>
    <font>
      <name val="Calibri"/>
      <family val="2"/>
      <color indexed="10"/>
      <sz val="11"/>
    </font>
    <font>
      <name val="ＭＳ Ｐゴシック"/>
      <charset val="128"/>
      <family val="3"/>
      <sz val="11"/>
    </font>
    <font>
      <name val="Calibri"/>
      <family val="2"/>
      <sz val="11"/>
      <scheme val="minor"/>
    </font>
    <font>
      <name val="Arial"/>
      <family val="2"/>
      <i val="1"/>
      <color rgb="FFFF0000"/>
      <sz val="10"/>
    </font>
    <font>
      <name val="Trebuchet MS"/>
      <family val="2"/>
      <sz val="10"/>
    </font>
    <font>
      <name val="Trebuchet MS"/>
      <family val="2"/>
      <color indexed="12"/>
      <sz val="10"/>
    </font>
    <font>
      <name val="Arial"/>
      <family val="2"/>
      <b val="1"/>
      <color indexed="9"/>
      <sz val="20"/>
    </font>
    <font>
      <name val="Arial"/>
      <family val="2"/>
      <sz val="20"/>
    </font>
    <font>
      <name val="Arial"/>
      <family val="2"/>
      <b val="1"/>
      <color indexed="9"/>
      <sz val="15"/>
    </font>
    <font>
      <name val="Wingdings"/>
      <charset val="2"/>
      <sz val="6"/>
    </font>
    <font>
      <name val="Airal"/>
      <i val="1"/>
      <color theme="1"/>
      <sz val="10"/>
    </font>
    <font>
      <name val="Airal"/>
      <color theme="1"/>
      <sz val="10"/>
    </font>
    <font>
      <name val="Calibri"/>
      <family val="2"/>
      <sz val="10"/>
      <scheme val="minor"/>
    </font>
    <font>
      <name val="Calibri"/>
      <family val="2"/>
      <sz val="9"/>
      <scheme val="minor"/>
    </font>
    <font>
      <name val="Calibri"/>
      <family val="2"/>
      <b val="1"/>
      <color rgb="FF002C5F"/>
      <sz val="9"/>
      <scheme val="minor"/>
    </font>
    <font>
      <name val="Arial"/>
      <family val="2"/>
      <color theme="0" tint="-0.499984740745262"/>
      <sz val="10"/>
    </font>
    <font>
      <name val="Arial"/>
      <family val="2"/>
      <b val="1"/>
      <color theme="0" tint="-0.499984740745262"/>
      <sz val="10"/>
    </font>
    <font>
      <name val="Symbol"/>
      <charset val="2"/>
      <family val="1"/>
      <color indexed="9"/>
      <sz val="1"/>
    </font>
    <font>
      <name val="Calibri"/>
      <family val="2"/>
      <color rgb="FF000000"/>
      <sz val="11"/>
    </font>
    <font>
      <name val="Calibri"/>
      <family val="2"/>
      <b val="1"/>
      <color indexed="9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i val="1"/>
      <sz val="10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i val="1"/>
      <color indexed="9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indexed="1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sz val="10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Arial"/>
      <family val="2"/>
      <i val="1"/>
      <color theme="0" tint="-0.499984740745262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  <u val="single"/>
    </font>
    <font>
      <name val="Arial"/>
      <family val="2"/>
      <i val="1"/>
      <color theme="0" tint="-0.1499984740745262"/>
      <sz val="10"/>
    </font>
    <font>
      <name val="Arial"/>
      <family val="2"/>
      <color theme="1"/>
      <sz val="10"/>
      <u val="single"/>
    </font>
    <font>
      <name val="Arial"/>
      <family val="2"/>
      <b val="1"/>
      <i val="1"/>
      <sz val="10"/>
    </font>
    <font>
      <name val="Arial"/>
      <family val="2"/>
      <b val="1"/>
      <color rgb="FFFF0000"/>
      <sz val="10"/>
    </font>
    <font>
      <name val="Arial"/>
      <family val="2"/>
      <color theme="0" tint="-0.499984740745262"/>
      <sz val="6"/>
    </font>
    <font>
      <name val="Calibri"/>
      <family val="2"/>
      <i val="1"/>
      <color theme="0" tint="-0.3499862666707358"/>
      <sz val="10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0" tint="-0.3499862666707358"/>
      <sz val="10"/>
      <scheme val="minor"/>
    </font>
    <font>
      <name val="Arial"/>
      <family val="2"/>
      <b val="1"/>
      <color theme="0"/>
      <sz val="10"/>
      <u val="single"/>
    </font>
    <font>
      <name val="Arial"/>
      <family val="2"/>
      <color theme="0"/>
      <sz val="10"/>
      <u val="single"/>
    </font>
    <font>
      <name val="Arial"/>
      <family val="2"/>
      <b val="1"/>
      <sz val="10"/>
      <u val="single"/>
    </font>
    <font>
      <name val="Arial"/>
      <family val="2"/>
      <sz val="10"/>
      <u val="single"/>
    </font>
    <font>
      <name val="Arial"/>
      <family val="2"/>
      <i val="1"/>
      <color rgb="FF0000FF"/>
      <sz val="10"/>
    </font>
    <font>
      <name val="Calibri"/>
      <family val="2"/>
      <b val="1"/>
      <color rgb="FF0000FF"/>
      <sz val="9"/>
      <scheme val="minor"/>
    </font>
    <font>
      <name val="Calibri"/>
      <family val="2"/>
      <b val="1"/>
      <color theme="0"/>
      <sz val="1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3"/>
      <sz val="15"/>
      <scheme val="minor"/>
    </font>
    <font>
      <name val="Cambria"/>
      <family val="2"/>
      <b val="1"/>
      <color theme="3"/>
      <sz val="18"/>
      <scheme val="major"/>
    </font>
    <font>
      <name val="Cambria"/>
      <family val="2"/>
      <b val="1"/>
      <color theme="3"/>
      <sz val="17"/>
      <scheme val="major"/>
    </font>
    <font>
      <name val="Calibri"/>
      <family val="2"/>
      <b val="1"/>
      <i val="1"/>
      <color theme="3"/>
      <sz val="11"/>
      <scheme val="minor"/>
    </font>
    <font>
      <name val="Tahoma"/>
      <family val="2"/>
      <sz val="10"/>
    </font>
    <font>
      <name val="Tahoma"/>
      <family val="2"/>
      <color theme="0"/>
      <sz val="10"/>
    </font>
    <font>
      <name val="Tahoma"/>
      <family val="2"/>
      <sz val="8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mbria"/>
      <family val="2"/>
      <b val="1"/>
      <color theme="3"/>
      <sz val="14"/>
      <scheme val="major"/>
    </font>
    <font>
      <name val="Calibri"/>
      <family val="2"/>
      <b val="1"/>
      <color theme="1"/>
      <sz val="10"/>
      <u val="single"/>
      <scheme val="minor"/>
    </font>
    <font>
      <name val="Calibri"/>
      <charset val="1"/>
      <family val="2"/>
      <color theme="1"/>
      <sz val="11"/>
    </font>
    <font>
      <name val="Arial"/>
      <family val="2"/>
      <b val="1"/>
      <color rgb="FF1F1F1F"/>
      <sz val="9"/>
    </font>
    <font>
      <name val="Söhne"/>
      <family val="2"/>
      <b val="1"/>
      <color rgb="FFFFFFFF"/>
      <sz val="11"/>
    </font>
    <font>
      <name val="Söhne"/>
      <family val="2"/>
      <color rgb="FF000000"/>
      <sz val="11"/>
    </font>
    <font>
      <name val="Söhne"/>
      <family val="2"/>
      <i val="1"/>
      <color rgb="FF000000"/>
      <sz val="11"/>
    </font>
    <font>
      <name val="Söhne"/>
      <family val="2"/>
      <b val="1"/>
      <color rgb="FF000000"/>
      <sz val="11"/>
    </font>
    <font>
      <name val="Arial"/>
      <family val="2"/>
      <sz val="11"/>
    </font>
    <font>
      <name val="Söhne"/>
      <family val="2"/>
      <b val="1"/>
      <color rgb="FF000000"/>
      <sz val="11"/>
    </font>
    <font>
      <name val="Söhne"/>
      <family val="2"/>
      <color rgb="FF000000"/>
      <sz val="11"/>
    </font>
    <font>
      <name val="Söhne"/>
      <family val="2"/>
      <i val="1"/>
      <color rgb="FF000000"/>
      <sz val="11"/>
    </font>
    <font>
      <name val="Arial"/>
      <family val="2"/>
      <sz val="18"/>
    </font>
    <font>
      <name val="Söhne"/>
      <family val="2"/>
      <b val="1"/>
      <color rgb="FF000000"/>
      <sz val="10"/>
    </font>
    <font>
      <name val="Söhne"/>
      <family val="2"/>
      <color rgb="FF000000"/>
      <sz val="10"/>
    </font>
    <font>
      <name val="Cambria"/>
      <family val="2"/>
      <color theme="3"/>
      <sz val="18"/>
      <scheme val="major"/>
    </font>
    <font>
      <name val="Cambria"/>
      <family val="2"/>
      <b val="1"/>
      <color theme="3"/>
      <sz val="10"/>
      <scheme val="major"/>
    </font>
    <font>
      <name val="Calibri"/>
      <family val="2"/>
      <b val="1"/>
      <color theme="3"/>
      <sz val="14"/>
      <scheme val="minor"/>
    </font>
    <font>
      <name val="Calibri"/>
      <family val="2"/>
      <b val="1"/>
      <color theme="3"/>
      <sz val="10"/>
      <scheme val="minor"/>
    </font>
    <font>
      <name val="Tahoma"/>
      <family val="2"/>
      <b val="1"/>
      <sz val="10"/>
    </font>
    <font>
      <name val="Wingdings"/>
      <charset val="2"/>
      <b val="1"/>
      <color theme="1"/>
      <sz val="10"/>
    </font>
    <font>
      <name val="Calibri"/>
      <family val="2"/>
      <b val="1"/>
      <sz val="11"/>
      <scheme val="minor"/>
    </font>
    <font>
      <name val="Söhne"/>
      <family val="2"/>
      <b val="1"/>
      <i val="1"/>
      <color rgb="FFFFFFFF"/>
      <sz val="11"/>
    </font>
  </fonts>
  <fills count="7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7"/>
        <bgColor indexed="64"/>
      </patternFill>
    </fill>
    <fill>
      <patternFill patternType="solid">
        <fgColor indexed="43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2C5F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0080"/>
        <bgColor indexed="64"/>
      </patternFill>
    </fill>
    <fill>
      <patternFill patternType="gray125">
        <fgColor theme="0" tint="-0.1499679555650502"/>
        <bgColor theme="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gray125">
        <fgColor theme="0" tint="-0.1499679555650502"/>
        <bgColor rgb="FFEEECE1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D3B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4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 style="hair">
        <color indexed="64"/>
      </right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C00000"/>
      </bottom>
      <diagonal/>
    </border>
    <border>
      <left/>
      <right style="hair">
        <color indexed="64"/>
      </right>
      <top style="thick">
        <color theme="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/>
      <bottom style="medium">
        <color rgb="FFC00000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medium">
        <color rgb="FFC00000"/>
      </top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rgb="FFC00000"/>
      </bottom>
      <diagonal/>
    </border>
    <border>
      <left style="hair">
        <color auto="1"/>
      </left>
      <right style="hair">
        <color auto="1"/>
      </right>
      <top style="medium">
        <color rgb="FFC00000"/>
      </top>
      <bottom/>
      <diagonal/>
    </border>
    <border>
      <left style="hair">
        <color auto="1"/>
      </left>
      <right style="hair">
        <color auto="1"/>
      </right>
      <top/>
      <bottom style="medium">
        <color rgb="FFC00000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ck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ck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3" tint="0.7999816888943144"/>
      </left>
      <right style="thin">
        <color theme="3" tint="0.799981688894314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medium">
        <color rgb="FF000075"/>
      </right>
      <top style="thin">
        <color rgb="FFFFFFFF"/>
      </top>
      <bottom style="thin">
        <color rgb="FFFFFFFF"/>
      </bottom>
      <diagonal/>
    </border>
    <border>
      <left style="medium">
        <color rgb="FF00007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/>
      <right style="medium">
        <color rgb="FFFFFFFF"/>
      </right>
      <top/>
      <bottom style="thin">
        <color rgb="FF000000"/>
      </bottom>
      <diagonal/>
    </border>
    <border>
      <left style="medium">
        <color rgb="FFFFFFFF"/>
      </left>
      <right/>
      <top/>
      <bottom style="thin">
        <color rgb="FF000000"/>
      </bottom>
      <diagonal/>
    </border>
    <border>
      <left/>
      <right style="medium">
        <color rgb="FFFFFFFF"/>
      </right>
      <top style="thin">
        <color rgb="FF000000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1499679555650502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"/>
      </top>
      <bottom style="dotted">
        <color theme="0" tint="-0.1499679555650502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auto="1"/>
      </left>
      <right style="thin">
        <color auto="1"/>
      </right>
      <top style="dotted">
        <color theme="0" tint="-0.1499679555650502"/>
      </top>
      <bottom style="thin">
        <color auto="1"/>
      </bottom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 style="thin">
        <color theme="3" tint="0.7999816888943144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3" tint="0.7999816888943144"/>
      </left>
      <right/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1"/>
      </top>
      <bottom style="double">
        <color theme="1"/>
      </bottom>
      <diagonal/>
    </border>
    <border>
      <left/>
      <right/>
      <top style="hair">
        <color auto="1"/>
      </top>
      <bottom/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0">
    <xf numFmtId="0" fontId="1" fillId="0" borderId="0"/>
    <xf numFmtId="0" fontId="8" fillId="0" borderId="0"/>
    <xf numFmtId="43" fontId="8" fillId="0" borderId="0"/>
    <xf numFmtId="9" fontId="8" fillId="0" borderId="0"/>
    <xf numFmtId="173" fontId="1" fillId="0" borderId="0"/>
    <xf numFmtId="0" fontId="14" fillId="0" borderId="0"/>
    <xf numFmtId="0" fontId="8" fillId="0" borderId="0"/>
    <xf numFmtId="0" fontId="8" fillId="15" borderId="0"/>
    <xf numFmtId="0" fontId="8" fillId="15" borderId="0"/>
    <xf numFmtId="0" fontId="17" fillId="16" borderId="0"/>
    <xf numFmtId="0" fontId="17" fillId="16" borderId="0"/>
    <xf numFmtId="0" fontId="18" fillId="17" borderId="0"/>
    <xf numFmtId="0" fontId="18" fillId="17" borderId="0"/>
    <xf numFmtId="0" fontId="19" fillId="18" borderId="0"/>
    <xf numFmtId="0" fontId="19" fillId="18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8" fillId="19" borderId="0"/>
    <xf numFmtId="0" fontId="8" fillId="19" borderId="0"/>
    <xf numFmtId="0" fontId="15" fillId="20" borderId="0"/>
    <xf numFmtId="0" fontId="15" fillId="20" borderId="0"/>
    <xf numFmtId="0" fontId="8" fillId="15" borderId="0"/>
    <xf numFmtId="0" fontId="8" fillId="15" borderId="0"/>
    <xf numFmtId="0" fontId="17" fillId="16" borderId="0"/>
    <xf numFmtId="0" fontId="17" fillId="16" borderId="0"/>
    <xf numFmtId="0" fontId="18" fillId="17" borderId="0"/>
    <xf numFmtId="0" fontId="18" fillId="17" borderId="0"/>
    <xf numFmtId="0" fontId="19" fillId="18" borderId="0"/>
    <xf numFmtId="0" fontId="19" fillId="18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21" borderId="0"/>
    <xf numFmtId="220" fontId="23" fillId="21" borderId="0"/>
    <xf numFmtId="0" fontId="23" fillId="22" borderId="0"/>
    <xf numFmtId="220" fontId="23" fillId="22" borderId="0"/>
    <xf numFmtId="0" fontId="23" fillId="23" borderId="0"/>
    <xf numFmtId="220" fontId="23" fillId="23" borderId="0"/>
    <xf numFmtId="0" fontId="23" fillId="24" borderId="0"/>
    <xf numFmtId="220" fontId="23" fillId="24" borderId="0"/>
    <xf numFmtId="0" fontId="23" fillId="25" borderId="0"/>
    <xf numFmtId="220" fontId="23" fillId="25" borderId="0"/>
    <xf numFmtId="0" fontId="23" fillId="26" borderId="0"/>
    <xf numFmtId="220" fontId="23" fillId="26" borderId="0"/>
    <xf numFmtId="0" fontId="23" fillId="27" borderId="0"/>
    <xf numFmtId="220" fontId="23" fillId="27" borderId="0"/>
    <xf numFmtId="0" fontId="23" fillId="28" borderId="0"/>
    <xf numFmtId="220" fontId="23" fillId="28" borderId="0"/>
    <xf numFmtId="0" fontId="23" fillId="29" borderId="0"/>
    <xf numFmtId="220" fontId="23" fillId="29" borderId="0"/>
    <xf numFmtId="0" fontId="23" fillId="24" borderId="0"/>
    <xf numFmtId="220" fontId="23" fillId="24" borderId="0"/>
    <xf numFmtId="0" fontId="23" fillId="27" borderId="0"/>
    <xf numFmtId="220" fontId="23" fillId="27" borderId="0"/>
    <xf numFmtId="0" fontId="23" fillId="30" borderId="0"/>
    <xf numFmtId="220" fontId="23" fillId="30" borderId="0"/>
    <xf numFmtId="0" fontId="24" fillId="31" borderId="0"/>
    <xf numFmtId="220" fontId="24" fillId="31" borderId="0"/>
    <xf numFmtId="0" fontId="24" fillId="28" borderId="0"/>
    <xf numFmtId="220" fontId="24" fillId="28" borderId="0"/>
    <xf numFmtId="0" fontId="24" fillId="29" borderId="0"/>
    <xf numFmtId="220" fontId="24" fillId="29" borderId="0"/>
    <xf numFmtId="0" fontId="24" fillId="32" borderId="0"/>
    <xf numFmtId="220" fontId="24" fillId="32" borderId="0"/>
    <xf numFmtId="0" fontId="24" fillId="33" borderId="0"/>
    <xf numFmtId="220" fontId="24" fillId="33" borderId="0"/>
    <xf numFmtId="0" fontId="24" fillId="34" borderId="0"/>
    <xf numFmtId="220" fontId="24" fillId="34" borderId="0"/>
    <xf numFmtId="220" fontId="7" fillId="9" borderId="0"/>
    <xf numFmtId="220" fontId="7" fillId="9" borderId="0"/>
    <xf numFmtId="0" fontId="25" fillId="35" borderId="24"/>
    <xf numFmtId="220" fontId="25" fillId="35" borderId="24"/>
    <xf numFmtId="220" fontId="3" fillId="3" borderId="0"/>
    <xf numFmtId="220" fontId="26" fillId="3" borderId="0"/>
    <xf numFmtId="0" fontId="27" fillId="23" borderId="0"/>
    <xf numFmtId="220" fontId="27" fillId="23" borderId="0"/>
    <xf numFmtId="49" fontId="28" fillId="0" borderId="0" applyAlignment="1">
      <alignment horizontal="left"/>
    </xf>
    <xf numFmtId="221" fontId="29" fillId="0" borderId="0"/>
    <xf numFmtId="221" fontId="29" fillId="0" borderId="0"/>
    <xf numFmtId="221" fontId="29" fillId="0" borderId="0"/>
    <xf numFmtId="166" fontId="22" fillId="0" borderId="0"/>
    <xf numFmtId="166" fontId="22" fillId="0" borderId="0"/>
    <xf numFmtId="49" fontId="22" fillId="0" borderId="0" applyAlignment="1">
      <alignment horizontal="left"/>
    </xf>
    <xf numFmtId="49" fontId="22" fillId="0" borderId="0" applyAlignment="1">
      <alignment horizontal="left"/>
    </xf>
    <xf numFmtId="49" fontId="30" fillId="0" borderId="25" applyAlignment="1">
      <alignment horizontal="left" wrapText="1"/>
    </xf>
    <xf numFmtId="49" fontId="30" fillId="0" borderId="0" applyAlignment="1">
      <alignment horizontal="left" wrapText="1"/>
    </xf>
    <xf numFmtId="49" fontId="31" fillId="0" borderId="0" applyAlignment="1">
      <alignment horizontal="left"/>
    </xf>
    <xf numFmtId="220" fontId="32" fillId="6" borderId="1"/>
    <xf numFmtId="220" fontId="33" fillId="7" borderId="4"/>
    <xf numFmtId="222" fontId="25" fillId="0" borderId="0" applyAlignment="1">
      <alignment horizontal="left" vertical="center" wrapText="1"/>
    </xf>
    <xf numFmtId="0" fontId="25" fillId="0" borderId="0" applyAlignment="1">
      <alignment horizontal="center" vertical="center" wrapText="1"/>
    </xf>
    <xf numFmtId="43" fontId="29" fillId="0" borderId="0"/>
    <xf numFmtId="223" fontId="8" fillId="0" borderId="0"/>
    <xf numFmtId="43" fontId="8" fillId="0" borderId="0"/>
    <xf numFmtId="43" fontId="1" fillId="0" borderId="0"/>
    <xf numFmtId="43" fontId="1" fillId="0" borderId="0"/>
    <xf numFmtId="43" fontId="34" fillId="0" borderId="0"/>
    <xf numFmtId="43" fontId="1" fillId="0" borderId="0"/>
    <xf numFmtId="43" fontId="34" fillId="0" borderId="0"/>
    <xf numFmtId="43" fontId="8" fillId="0" borderId="0"/>
    <xf numFmtId="43" fontId="8" fillId="0" borderId="0"/>
    <xf numFmtId="224" fontId="25" fillId="0" borderId="0"/>
    <xf numFmtId="224" fontId="35" fillId="0" borderId="0"/>
    <xf numFmtId="224" fontId="1" fillId="0" borderId="0"/>
    <xf numFmtId="43" fontId="14" fillId="0" borderId="0"/>
    <xf numFmtId="43" fontId="34" fillId="0" borderId="0"/>
    <xf numFmtId="43" fontId="29" fillId="0" borderId="0"/>
    <xf numFmtId="43" fontId="29" fillId="0" borderId="0"/>
    <xf numFmtId="223" fontId="8" fillId="0" borderId="0"/>
    <xf numFmtId="223" fontId="8" fillId="0" borderId="0"/>
    <xf numFmtId="223" fontId="1" fillId="0" borderId="0"/>
    <xf numFmtId="225" fontId="36" fillId="0" borderId="0"/>
    <xf numFmtId="220" fontId="37" fillId="22" borderId="0"/>
    <xf numFmtId="220" fontId="37" fillId="22" borderId="0"/>
    <xf numFmtId="226" fontId="8" fillId="0" borderId="0" applyAlignment="1" applyProtection="1">
      <alignment horizontal="left"/>
      <protection locked="0" hidden="0"/>
    </xf>
    <xf numFmtId="226" fontId="8" fillId="0" borderId="0" applyAlignment="1" applyProtection="1">
      <alignment horizontal="left"/>
      <protection locked="0" hidden="0"/>
    </xf>
    <xf numFmtId="220" fontId="8" fillId="0" borderId="0"/>
    <xf numFmtId="220" fontId="8" fillId="0" borderId="0"/>
    <xf numFmtId="220" fontId="38" fillId="0" borderId="0"/>
    <xf numFmtId="227" fontId="39" fillId="0" borderId="0" applyAlignment="1">
      <alignment horizontal="right" vertical="top"/>
    </xf>
    <xf numFmtId="228" fontId="40" fillId="0" borderId="0" applyAlignment="1">
      <alignment horizontal="right" vertical="top"/>
    </xf>
    <xf numFmtId="228" fontId="39" fillId="0" borderId="0" applyAlignment="1">
      <alignment horizontal="right" vertical="top"/>
    </xf>
    <xf numFmtId="229" fontId="40" fillId="0" borderId="0" applyAlignment="1">
      <alignment horizontal="right" vertical="top"/>
    </xf>
    <xf numFmtId="230" fontId="40" fillId="0" borderId="0" applyAlignment="1">
      <alignment horizontal="right" vertical="top"/>
    </xf>
    <xf numFmtId="231" fontId="40" fillId="0" borderId="0" applyAlignment="1">
      <alignment horizontal="right" vertical="top"/>
    </xf>
    <xf numFmtId="232" fontId="40" fillId="0" borderId="0" applyAlignment="1">
      <alignment horizontal="right" vertical="top"/>
    </xf>
    <xf numFmtId="0" fontId="41" fillId="0" borderId="0" applyAlignment="1">
      <alignment horizontal="center" wrapText="1"/>
    </xf>
    <xf numFmtId="0" fontId="41" fillId="0" borderId="0" applyAlignment="1">
      <alignment horizontal="center" wrapText="1"/>
    </xf>
    <xf numFmtId="204" fontId="42" fillId="0" borderId="0" applyAlignment="1">
      <alignment vertical="top"/>
    </xf>
    <xf numFmtId="204" fontId="43" fillId="0" borderId="0" applyAlignment="1">
      <alignment vertical="top"/>
    </xf>
    <xf numFmtId="204" fontId="44" fillId="0" borderId="0" applyAlignment="1">
      <alignment vertical="top"/>
    </xf>
    <xf numFmtId="41" fontId="40" fillId="0" borderId="0" applyAlignment="1">
      <alignment horizontal="right" vertical="top"/>
    </xf>
    <xf numFmtId="204" fontId="45" fillId="0" borderId="0"/>
    <xf numFmtId="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220" fontId="40" fillId="0" borderId="0" applyAlignment="1">
      <alignment horizontal="left" vertical="top"/>
    </xf>
    <xf numFmtId="0" fontId="24" fillId="36" borderId="0"/>
    <xf numFmtId="220" fontId="24" fillId="36" borderId="0"/>
    <xf numFmtId="0" fontId="24" fillId="37" borderId="0"/>
    <xf numFmtId="220" fontId="24" fillId="37" borderId="0"/>
    <xf numFmtId="0" fontId="24" fillId="38" borderId="0"/>
    <xf numFmtId="220" fontId="24" fillId="38" borderId="0"/>
    <xf numFmtId="0" fontId="24" fillId="32" borderId="0"/>
    <xf numFmtId="220" fontId="24" fillId="32" borderId="0"/>
    <xf numFmtId="0" fontId="24" fillId="33" borderId="0"/>
    <xf numFmtId="220" fontId="24" fillId="33" borderId="0"/>
    <xf numFmtId="0" fontId="24" fillId="39" borderId="0"/>
    <xf numFmtId="220" fontId="24" fillId="39" borderId="0"/>
    <xf numFmtId="220" fontId="46" fillId="2" borderId="0"/>
    <xf numFmtId="0" fontId="47" fillId="26" borderId="26"/>
    <xf numFmtId="233" fontId="48" fillId="0" borderId="17" applyProtection="1">
      <protection locked="0" hidden="0"/>
    </xf>
    <xf numFmtId="233" fontId="48" fillId="0" borderId="17" applyProtection="1">
      <protection locked="0" hidden="0"/>
    </xf>
    <xf numFmtId="220" fontId="47" fillId="26" borderId="26"/>
    <xf numFmtId="220" fontId="49" fillId="5" borderId="1"/>
    <xf numFmtId="1" fontId="50" fillId="0" borderId="0" applyAlignment="1">
      <alignment horizontal="right" vertical="top"/>
    </xf>
    <xf numFmtId="0" fontId="51" fillId="40" borderId="27"/>
    <xf numFmtId="220" fontId="51" fillId="40" borderId="27"/>
    <xf numFmtId="0" fontId="5" fillId="7" borderId="4"/>
    <xf numFmtId="38" fontId="52" fillId="0" borderId="0"/>
    <xf numFmtId="38" fontId="53" fillId="0" borderId="0"/>
    <xf numFmtId="38" fontId="54" fillId="0" borderId="0"/>
    <xf numFmtId="38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20" fontId="4" fillId="0" borderId="3"/>
    <xf numFmtId="220" fontId="57" fillId="0" borderId="3"/>
    <xf numFmtId="0" fontId="58" fillId="41" borderId="28" applyAlignment="1">
      <alignment horizontal="center" vertical="center" wrapText="1"/>
    </xf>
    <xf numFmtId="220" fontId="58" fillId="41" borderId="28" applyAlignment="1">
      <alignment horizontal="center" vertical="center" wrapText="1"/>
    </xf>
    <xf numFmtId="49" fontId="50" fillId="0" borderId="0" applyAlignment="1">
      <alignment horizontal="left" vertical="top" wrapText="1"/>
    </xf>
    <xf numFmtId="41" fontId="8" fillId="0" borderId="0"/>
    <xf numFmtId="43" fontId="8" fillId="0" borderId="0"/>
    <xf numFmtId="220" fontId="59" fillId="42" borderId="0"/>
    <xf numFmtId="220" fontId="60" fillId="4" borderId="0"/>
    <xf numFmtId="0" fontId="61" fillId="0" borderId="0"/>
    <xf numFmtId="0" fontId="8" fillId="0" borderId="0"/>
    <xf numFmtId="0" fontId="8" fillId="0" borderId="0"/>
    <xf numFmtId="0" fontId="8" fillId="0" borderId="0"/>
    <xf numFmtId="220" fontId="25" fillId="0" borderId="0"/>
    <xf numFmtId="22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0" fontId="8" fillId="0" borderId="0"/>
    <xf numFmtId="220" fontId="8" fillId="0" borderId="0"/>
    <xf numFmtId="220" fontId="29" fillId="0" borderId="0"/>
    <xf numFmtId="220" fontId="1" fillId="0" borderId="0"/>
    <xf numFmtId="220" fontId="29" fillId="0" borderId="0"/>
    <xf numFmtId="220" fontId="8" fillId="0" borderId="0"/>
    <xf numFmtId="220" fontId="8" fillId="0" borderId="0"/>
    <xf numFmtId="220" fontId="1" fillId="0" borderId="0"/>
    <xf numFmtId="0" fontId="8" fillId="0" borderId="0"/>
    <xf numFmtId="0" fontId="1" fillId="0" borderId="0"/>
    <xf numFmtId="220" fontId="1" fillId="0" borderId="0"/>
    <xf numFmtId="220" fontId="8" fillId="0" borderId="0"/>
    <xf numFmtId="22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5" fillId="0" borderId="0"/>
    <xf numFmtId="220" fontId="35" fillId="0" borderId="0"/>
    <xf numFmtId="220" fontId="35" fillId="0" borderId="0"/>
    <xf numFmtId="0" fontId="8" fillId="0" borderId="0"/>
    <xf numFmtId="22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0" fontId="25" fillId="0" borderId="0"/>
    <xf numFmtId="0" fontId="25" fillId="0" borderId="0"/>
    <xf numFmtId="220" fontId="25" fillId="0" borderId="0"/>
    <xf numFmtId="220" fontId="25" fillId="0" borderId="0"/>
    <xf numFmtId="220" fontId="25" fillId="0" borderId="0"/>
    <xf numFmtId="220" fontId="25" fillId="0" borderId="0"/>
    <xf numFmtId="234" fontId="34" fillId="0" borderId="0"/>
    <xf numFmtId="22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0" fontId="25" fillId="0" borderId="0"/>
    <xf numFmtId="0" fontId="8" fillId="0" borderId="0"/>
    <xf numFmtId="0" fontId="1" fillId="0" borderId="0"/>
    <xf numFmtId="0" fontId="8" fillId="0" borderId="0"/>
    <xf numFmtId="0" fontId="1" fillId="0" borderId="0"/>
    <xf numFmtId="220" fontId="25" fillId="0" borderId="0"/>
    <xf numFmtId="0" fontId="25" fillId="0" borderId="0"/>
    <xf numFmtId="220" fontId="1" fillId="0" borderId="0"/>
    <xf numFmtId="0" fontId="8" fillId="0" borderId="0"/>
    <xf numFmtId="0" fontId="8" fillId="0" borderId="0"/>
    <xf numFmtId="0" fontId="25" fillId="0" borderId="0"/>
    <xf numFmtId="220" fontId="8" fillId="0" borderId="0"/>
    <xf numFmtId="220" fontId="25" fillId="0" borderId="0"/>
    <xf numFmtId="0" fontId="25" fillId="0" borderId="0"/>
    <xf numFmtId="235" fontId="34" fillId="0" borderId="0"/>
    <xf numFmtId="0" fontId="8" fillId="0" borderId="0"/>
    <xf numFmtId="0" fontId="36" fillId="0" borderId="0"/>
    <xf numFmtId="234" fontId="34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220" fontId="34" fillId="8" borderId="5"/>
    <xf numFmtId="173" fontId="62" fillId="12" borderId="0"/>
    <xf numFmtId="220" fontId="63" fillId="6" borderId="2"/>
    <xf numFmtId="9" fontId="8" fillId="0" borderId="0"/>
    <xf numFmtId="9" fontId="8" fillId="0" borderId="0"/>
    <xf numFmtId="9" fontId="8" fillId="0" borderId="0"/>
    <xf numFmtId="236" fontId="34" fillId="0" borderId="0"/>
    <xf numFmtId="9" fontId="8" fillId="0" borderId="0"/>
    <xf numFmtId="9" fontId="25" fillId="0" borderId="0"/>
    <xf numFmtId="9" fontId="25" fillId="0" borderId="0"/>
    <xf numFmtId="9" fontId="35" fillId="0" borderId="0"/>
    <xf numFmtId="9" fontId="25" fillId="0" borderId="0"/>
    <xf numFmtId="9" fontId="8" fillId="0" borderId="0"/>
    <xf numFmtId="9" fontId="25" fillId="0" borderId="0"/>
    <xf numFmtId="9" fontId="34" fillId="0" borderId="0"/>
    <xf numFmtId="236" fontId="34" fillId="0" borderId="0"/>
    <xf numFmtId="10" fontId="8" fillId="0" borderId="0"/>
    <xf numFmtId="9" fontId="8" fillId="0" borderId="0"/>
    <xf numFmtId="9" fontId="8" fillId="0" borderId="0"/>
    <xf numFmtId="9" fontId="25" fillId="0" borderId="0"/>
    <xf numFmtId="9" fontId="1" fillId="0" borderId="0"/>
    <xf numFmtId="9" fontId="1" fillId="0" borderId="0"/>
    <xf numFmtId="9" fontId="8" fillId="0" borderId="0"/>
    <xf numFmtId="9" fontId="25" fillId="0" borderId="0"/>
    <xf numFmtId="9" fontId="25" fillId="0" borderId="0"/>
    <xf numFmtId="0" fontId="64" fillId="0" borderId="0"/>
    <xf numFmtId="220" fontId="64" fillId="0" borderId="0"/>
    <xf numFmtId="234" fontId="65" fillId="0" borderId="0"/>
    <xf numFmtId="234" fontId="34" fillId="43" borderId="0"/>
    <xf numFmtId="0" fontId="34" fillId="0" borderId="0"/>
    <xf numFmtId="220" fontId="34" fillId="0" borderId="0"/>
    <xf numFmtId="220" fontId="34" fillId="0" borderId="0"/>
    <xf numFmtId="220" fontId="34" fillId="0" borderId="0"/>
    <xf numFmtId="234" fontId="34" fillId="44" borderId="0"/>
    <xf numFmtId="237" fontId="34" fillId="0" borderId="0"/>
    <xf numFmtId="0" fontId="66" fillId="0" borderId="0"/>
    <xf numFmtId="220" fontId="66" fillId="0" borderId="0"/>
    <xf numFmtId="220" fontId="66" fillId="0" borderId="0"/>
    <xf numFmtId="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220" fontId="65" fillId="0" borderId="29" applyAlignment="1">
      <alignment horizontal="right" wrapText="1"/>
    </xf>
    <xf numFmtId="0" fontId="65" fillId="0" borderId="0" applyAlignment="1">
      <alignment wrapText="1"/>
    </xf>
    <xf numFmtId="220" fontId="65" fillId="0" borderId="0" applyAlignment="1">
      <alignment wrapText="1"/>
    </xf>
    <xf numFmtId="220" fontId="65" fillId="0" borderId="0" applyAlignment="1">
      <alignment wrapText="1"/>
    </xf>
    <xf numFmtId="220" fontId="65" fillId="0" borderId="0" applyAlignment="1">
      <alignment wrapText="1"/>
    </xf>
    <xf numFmtId="220" fontId="65" fillId="0" borderId="0" applyAlignment="1">
      <alignment wrapText="1"/>
    </xf>
    <xf numFmtId="234" fontId="67" fillId="0" borderId="30"/>
    <xf numFmtId="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0" fontId="67" fillId="0" borderId="31"/>
    <xf numFmtId="220" fontId="67" fillId="0" borderId="31"/>
    <xf numFmtId="220" fontId="67" fillId="0" borderId="31"/>
    <xf numFmtId="220" fontId="67" fillId="0" borderId="31"/>
    <xf numFmtId="220" fontId="67" fillId="0" borderId="31"/>
    <xf numFmtId="220" fontId="67" fillId="0" borderId="31"/>
    <xf numFmtId="220" fontId="67" fillId="0" borderId="31"/>
    <xf numFmtId="0" fontId="67" fillId="0" borderId="31"/>
    <xf numFmtId="0" fontId="23" fillId="0" borderId="0"/>
    <xf numFmtId="0" fontId="68" fillId="0" borderId="0" applyAlignment="1">
      <alignment vertical="top"/>
    </xf>
    <xf numFmtId="0" fontId="69" fillId="0" borderId="32"/>
    <xf numFmtId="220" fontId="69" fillId="0" borderId="32"/>
    <xf numFmtId="49" fontId="50" fillId="0" borderId="0" applyAlignment="1">
      <alignment horizontal="left" vertical="top"/>
    </xf>
    <xf numFmtId="220" fontId="70" fillId="0" borderId="31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43" fontId="29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43" fontId="8" fillId="0" borderId="0"/>
    <xf numFmtId="238" fontId="8" fillId="0" borderId="0"/>
    <xf numFmtId="223" fontId="1" fillId="0" borderId="0"/>
    <xf numFmtId="223" fontId="1" fillId="0" borderId="0"/>
    <xf numFmtId="224" fontId="25" fillId="0" borderId="0"/>
    <xf numFmtId="224" fontId="25" fillId="0" borderId="0"/>
    <xf numFmtId="224" fontId="25" fillId="0" borderId="0"/>
    <xf numFmtId="224" fontId="1" fillId="0" borderId="0"/>
    <xf numFmtId="224" fontId="25" fillId="0" borderId="0"/>
    <xf numFmtId="224" fontId="25" fillId="0" borderId="0"/>
    <xf numFmtId="223" fontId="8" fillId="0" borderId="0"/>
    <xf numFmtId="223" fontId="8" fillId="0" borderId="0"/>
    <xf numFmtId="239" fontId="8" fillId="0" borderId="0"/>
    <xf numFmtId="240" fontId="71" fillId="0" borderId="0"/>
    <xf numFmtId="0" fontId="72" fillId="0" borderId="0"/>
    <xf numFmtId="220" fontId="72" fillId="0" borderId="0"/>
    <xf numFmtId="38" fontId="73" fillId="0" borderId="0" applyAlignment="1">
      <alignment vertical="center"/>
    </xf>
    <xf numFmtId="0" fontId="73" fillId="0" borderId="0" applyAlignment="1">
      <alignment vertical="center"/>
    </xf>
    <xf numFmtId="0" fontId="5" fillId="45" borderId="0"/>
    <xf numFmtId="241" fontId="74" fillId="0" borderId="0"/>
    <xf numFmtId="0" fontId="50" fillId="0" borderId="0"/>
    <xf numFmtId="14" fontId="77" fillId="47" borderId="20"/>
    <xf numFmtId="183" fontId="76" fillId="0" borderId="0"/>
    <xf numFmtId="9" fontId="1" fillId="0" borderId="0"/>
    <xf numFmtId="0" fontId="8" fillId="0" borderId="0"/>
    <xf numFmtId="0" fontId="8" fillId="0" borderId="0"/>
    <xf numFmtId="0" fontId="8" fillId="0" borderId="0"/>
    <xf numFmtId="0" fontId="89" fillId="0" borderId="0"/>
    <xf numFmtId="0" fontId="90" fillId="0" borderId="0"/>
    <xf numFmtId="43" fontId="1" fillId="0" borderId="0"/>
    <xf numFmtId="0" fontId="126" fillId="0" borderId="100"/>
    <xf numFmtId="0" fontId="127" fillId="0" borderId="0"/>
    <xf numFmtId="0" fontId="74" fillId="0" borderId="0"/>
    <xf numFmtId="3" fontId="74" fillId="0" borderId="101" applyAlignment="1">
      <alignment vertical="center" wrapText="1"/>
    </xf>
    <xf numFmtId="43" fontId="1" fillId="0" borderId="0"/>
    <xf numFmtId="0" fontId="140" fillId="0" borderId="0"/>
    <xf numFmtId="0" fontId="153" fillId="0" borderId="0"/>
  </cellStyleXfs>
  <cellXfs count="1590">
    <xf numFmtId="0" fontId="0" fillId="0" borderId="0" pivotButton="0" quotePrefix="0" xfId="0"/>
    <xf numFmtId="0" fontId="8" fillId="0" borderId="0" pivotButton="0" quotePrefix="0" xfId="1"/>
    <xf numFmtId="0" fontId="9" fillId="0" borderId="0" pivotButton="0" quotePrefix="0" xfId="1"/>
    <xf numFmtId="0" fontId="9" fillId="0" borderId="15" pivotButton="0" quotePrefix="0" xfId="1"/>
    <xf numFmtId="0" fontId="12" fillId="0" borderId="15" pivotButton="0" quotePrefix="0" xfId="0"/>
    <xf numFmtId="0" fontId="8" fillId="0" borderId="15" pivotButton="0" quotePrefix="0" xfId="1"/>
    <xf numFmtId="0" fontId="13" fillId="12" borderId="17" applyAlignment="1" pivotButton="0" quotePrefix="0" xfId="0">
      <alignment horizontal="center"/>
    </xf>
    <xf numFmtId="0" fontId="14" fillId="0" borderId="0" pivotButton="0" quotePrefix="0" xfId="1"/>
    <xf numFmtId="164" fontId="13" fillId="12" borderId="18" pivotButton="0" quotePrefix="0" xfId="0"/>
    <xf numFmtId="0" fontId="14" fillId="0" borderId="0" pivotButton="0" quotePrefix="0" xfId="0"/>
    <xf numFmtId="165" fontId="13" fillId="12" borderId="20" pivotButton="0" quotePrefix="0" xfId="1"/>
    <xf numFmtId="166" fontId="13" fillId="12" borderId="20" pivotButton="0" quotePrefix="0" xfId="1"/>
    <xf numFmtId="166" fontId="8" fillId="0" borderId="0" pivotButton="0" quotePrefix="0" xfId="1"/>
    <xf numFmtId="164" fontId="14" fillId="0" borderId="0" pivotButton="0" quotePrefix="0" xfId="0"/>
    <xf numFmtId="2" fontId="8" fillId="0" borderId="0" pivotButton="0" quotePrefix="0" xfId="1"/>
    <xf numFmtId="167" fontId="13" fillId="12" borderId="20" pivotButton="0" quotePrefix="0" xfId="1"/>
    <xf numFmtId="0" fontId="8" fillId="0" borderId="0" applyAlignment="1" pivotButton="0" quotePrefix="0" xfId="1">
      <alignment horizontal="center"/>
    </xf>
    <xf numFmtId="165" fontId="8" fillId="0" borderId="0" pivotButton="0" quotePrefix="0" xfId="1"/>
    <xf numFmtId="0" fontId="12" fillId="0" borderId="15" pivotButton="0" quotePrefix="0" xfId="1"/>
    <xf numFmtId="0" fontId="9" fillId="0" borderId="15" applyAlignment="1" pivotButton="0" quotePrefix="0" xfId="1">
      <alignment horizontal="right"/>
    </xf>
    <xf numFmtId="0" fontId="8" fillId="0" borderId="14" pivotButton="0" quotePrefix="0" xfId="1"/>
    <xf numFmtId="0" fontId="12" fillId="0" borderId="0" pivotButton="0" quotePrefix="0" xfId="1"/>
    <xf numFmtId="9" fontId="8" fillId="0" borderId="0" pivotButton="0" quotePrefix="0" xfId="1"/>
    <xf numFmtId="0" fontId="8" fillId="0" borderId="0" applyAlignment="1" pivotButton="0" quotePrefix="0" xfId="1">
      <alignment horizontal="right"/>
    </xf>
    <xf numFmtId="0" fontId="8" fillId="0" borderId="0" applyAlignment="1" pivotButton="0" quotePrefix="0" xfId="1">
      <alignment horizontal="left" indent="2"/>
    </xf>
    <xf numFmtId="165" fontId="12" fillId="0" borderId="0" pivotButton="0" quotePrefix="0" xfId="1"/>
    <xf numFmtId="14" fontId="8" fillId="0" borderId="0" pivotButton="0" quotePrefix="0" xfId="1"/>
    <xf numFmtId="168" fontId="8" fillId="0" borderId="21" pivotButton="0" quotePrefix="0" xfId="1"/>
    <xf numFmtId="0" fontId="12" fillId="13" borderId="0" pivotButton="0" quotePrefix="0" xfId="1"/>
    <xf numFmtId="164" fontId="12" fillId="13" borderId="0" pivotButton="0" quotePrefix="0" xfId="1"/>
    <xf numFmtId="0" fontId="15" fillId="0" borderId="0" pivotButton="0" quotePrefix="0" xfId="1"/>
    <xf numFmtId="166" fontId="15" fillId="0" borderId="0" pivotButton="0" quotePrefix="0" xfId="3"/>
    <xf numFmtId="166" fontId="15" fillId="0" borderId="0" pivotButton="0" quotePrefix="0" xfId="3"/>
    <xf numFmtId="169" fontId="8" fillId="0" borderId="0" pivotButton="0" quotePrefix="0" xfId="1"/>
    <xf numFmtId="169" fontId="8" fillId="0" borderId="15" pivotButton="0" quotePrefix="0" xfId="1"/>
    <xf numFmtId="164" fontId="12" fillId="13" borderId="22" pivotButton="0" quotePrefix="0" xfId="1"/>
    <xf numFmtId="165" fontId="8" fillId="0" borderId="15" pivotButton="0" quotePrefix="0" xfId="1"/>
    <xf numFmtId="170" fontId="8" fillId="0" borderId="15" pivotButton="0" quotePrefix="0" xfId="1"/>
    <xf numFmtId="0" fontId="14" fillId="0" borderId="0" applyAlignment="1" pivotButton="0" quotePrefix="0" xfId="1">
      <alignment horizontal="left" indent="1"/>
    </xf>
    <xf numFmtId="167" fontId="14" fillId="0" borderId="0" pivotButton="0" quotePrefix="0" xfId="1"/>
    <xf numFmtId="0" fontId="12" fillId="0" borderId="0" pivotButton="0" quotePrefix="0" xfId="0"/>
    <xf numFmtId="0" fontId="14" fillId="0" borderId="0" applyAlignment="1" pivotButton="0" quotePrefix="0" xfId="0">
      <alignment horizontal="left" indent="1"/>
    </xf>
    <xf numFmtId="0" fontId="14" fillId="0" borderId="15" pivotButton="0" quotePrefix="0" xfId="0"/>
    <xf numFmtId="1" fontId="9" fillId="13" borderId="0" pivotButton="0" quotePrefix="0" xfId="0"/>
    <xf numFmtId="0" fontId="10" fillId="11" borderId="0" pivotButton="0" quotePrefix="0" xfId="0"/>
    <xf numFmtId="0" fontId="8" fillId="11" borderId="0" pivotButton="0" quotePrefix="0" xfId="0"/>
    <xf numFmtId="171" fontId="8" fillId="0" borderId="0" pivotButton="0" quotePrefix="0" xfId="1"/>
    <xf numFmtId="172" fontId="14" fillId="0" borderId="0" applyAlignment="1" pivotButton="0" quotePrefix="0" xfId="0">
      <alignment horizontal="right"/>
    </xf>
    <xf numFmtId="0" fontId="8" fillId="0" borderId="0" pivotButton="0" quotePrefix="0" xfId="0"/>
    <xf numFmtId="173" fontId="0" fillId="0" borderId="0" pivotButton="0" quotePrefix="0" xfId="0"/>
    <xf numFmtId="174" fontId="6" fillId="0" borderId="0" pivotButton="0" quotePrefix="0" xfId="0"/>
    <xf numFmtId="173" fontId="14" fillId="0" borderId="0" pivotButton="0" quotePrefix="0" xfId="0"/>
    <xf numFmtId="173" fontId="14" fillId="0" borderId="0" pivotButton="0" quotePrefix="0" xfId="4"/>
    <xf numFmtId="173" fontId="8" fillId="0" borderId="0" pivotButton="0" quotePrefix="0" xfId="282"/>
    <xf numFmtId="172" fontId="8" fillId="0" borderId="0" pivotButton="0" quotePrefix="0" xfId="1"/>
    <xf numFmtId="0" fontId="10" fillId="0" borderId="0" pivotButton="0" quotePrefix="0" xfId="0"/>
    <xf numFmtId="164" fontId="13" fillId="12" borderId="20" pivotButton="0" quotePrefix="0" xfId="0"/>
    <xf numFmtId="0" fontId="14" fillId="0" borderId="22" pivotButton="0" quotePrefix="0" xfId="0"/>
    <xf numFmtId="175" fontId="13" fillId="0" borderId="0" pivotButton="0" quotePrefix="0" xfId="1"/>
    <xf numFmtId="167" fontId="8" fillId="0" borderId="0" pivotButton="0" quotePrefix="0" xfId="1"/>
    <xf numFmtId="176" fontId="8" fillId="0" borderId="0" applyAlignment="1" pivotButton="0" quotePrefix="0" xfId="1">
      <alignment horizontal="right"/>
    </xf>
    <xf numFmtId="176" fontId="8" fillId="0" borderId="0" pivotButton="0" quotePrefix="0" xfId="1"/>
    <xf numFmtId="0" fontId="12" fillId="0" borderId="23" pivotButton="0" quotePrefix="0" xfId="0"/>
    <xf numFmtId="0" fontId="12" fillId="0" borderId="22" pivotButton="0" quotePrefix="0" xfId="0"/>
    <xf numFmtId="166" fontId="14" fillId="0" borderId="0" pivotButton="0" quotePrefix="0" xfId="0"/>
    <xf numFmtId="172" fontId="14" fillId="0" borderId="33" applyAlignment="1" pivotButton="0" quotePrefix="0" xfId="0">
      <alignment horizontal="right"/>
    </xf>
    <xf numFmtId="172" fontId="14" fillId="0" borderId="22" applyAlignment="1" pivotButton="0" quotePrefix="0" xfId="0">
      <alignment horizontal="right"/>
    </xf>
    <xf numFmtId="166" fontId="14" fillId="0" borderId="22" pivotButton="0" quotePrefix="0" xfId="0"/>
    <xf numFmtId="0" fontId="12" fillId="10" borderId="0" pivotButton="0" quotePrefix="0" xfId="1"/>
    <xf numFmtId="164" fontId="12" fillId="10" borderId="0" pivotButton="0" quotePrefix="0" xfId="1"/>
    <xf numFmtId="164" fontId="12" fillId="10" borderId="0" applyAlignment="1" pivotButton="0" quotePrefix="0" xfId="1">
      <alignment horizontal="right"/>
    </xf>
    <xf numFmtId="177" fontId="13" fillId="12" borderId="20" applyAlignment="1" pivotButton="0" quotePrefix="0" xfId="1">
      <alignment horizontal="right"/>
    </xf>
    <xf numFmtId="0" fontId="8" fillId="0" borderId="0" applyAlignment="1" pivotButton="0" quotePrefix="0" xfId="1">
      <alignment horizontal="left"/>
    </xf>
    <xf numFmtId="178" fontId="12" fillId="0" borderId="15" pivotButton="0" quotePrefix="0" xfId="1"/>
    <xf numFmtId="177" fontId="13" fillId="0" borderId="0" applyAlignment="1" pivotButton="0" quotePrefix="0" xfId="1">
      <alignment horizontal="right"/>
    </xf>
    <xf numFmtId="0" fontId="14" fillId="0" borderId="0" applyAlignment="1" pivotButton="0" quotePrefix="0" xfId="0">
      <alignment horizontal="right"/>
    </xf>
    <xf numFmtId="172" fontId="12" fillId="0" borderId="0" applyAlignment="1" pivotButton="0" quotePrefix="0" xfId="0">
      <alignment horizontal="right"/>
    </xf>
    <xf numFmtId="165" fontId="12" fillId="0" borderId="0" pivotButton="0" quotePrefix="0" xfId="0"/>
    <xf numFmtId="164" fontId="8" fillId="0" borderId="0" pivotButton="0" quotePrefix="0" xfId="1"/>
    <xf numFmtId="164" fontId="14" fillId="0" borderId="0" pivotButton="0" quotePrefix="0" xfId="1"/>
    <xf numFmtId="179" fontId="8" fillId="0" borderId="0" pivotButton="0" quotePrefix="0" xfId="1"/>
    <xf numFmtId="176" fontId="14" fillId="0" borderId="0" pivotButton="0" quotePrefix="0" xfId="0"/>
    <xf numFmtId="176" fontId="14" fillId="0" borderId="0" pivotButton="0" quotePrefix="0" xfId="4"/>
    <xf numFmtId="2" fontId="16" fillId="0" borderId="0" pivotButton="0" quotePrefix="0" xfId="0"/>
    <xf numFmtId="2" fontId="15" fillId="0" borderId="0" pivotButton="0" quotePrefix="0" xfId="1"/>
    <xf numFmtId="166" fontId="13" fillId="0" borderId="34" pivotButton="0" quotePrefix="0" xfId="1"/>
    <xf numFmtId="166" fontId="16" fillId="0" borderId="0" pivotButton="0" quotePrefix="0" xfId="1"/>
    <xf numFmtId="0" fontId="12" fillId="10" borderId="0" applyAlignment="1" pivotButton="0" quotePrefix="0" xfId="1">
      <alignment horizontal="right"/>
    </xf>
    <xf numFmtId="172" fontId="15" fillId="0" borderId="0" pivotButton="0" quotePrefix="0" xfId="1"/>
    <xf numFmtId="0" fontId="9" fillId="0" borderId="0" applyAlignment="1" pivotButton="0" quotePrefix="0" xfId="1">
      <alignment horizontal="left"/>
    </xf>
    <xf numFmtId="0" fontId="14" fillId="0" borderId="0" applyAlignment="1" pivotButton="0" quotePrefix="0" xfId="1">
      <alignment horizontal="left"/>
    </xf>
    <xf numFmtId="166" fontId="14" fillId="0" borderId="0" applyAlignment="1" pivotButton="0" quotePrefix="0" xfId="0">
      <alignment horizontal="right"/>
    </xf>
    <xf numFmtId="166" fontId="12" fillId="14" borderId="7" pivotButton="0" quotePrefix="0" xfId="0"/>
    <xf numFmtId="173" fontId="14" fillId="0" borderId="0" applyAlignment="1" pivotButton="0" quotePrefix="0" xfId="4">
      <alignment horizontal="right"/>
    </xf>
    <xf numFmtId="176" fontId="14" fillId="0" borderId="0" applyAlignment="1" pivotButton="0" quotePrefix="0" xfId="0">
      <alignment horizontal="right"/>
    </xf>
    <xf numFmtId="173" fontId="14" fillId="0" borderId="15" pivotButton="0" quotePrefix="0" xfId="4"/>
    <xf numFmtId="180" fontId="14" fillId="0" borderId="0" pivotButton="0" quotePrefix="0" xfId="0"/>
    <xf numFmtId="0" fontId="12" fillId="10" borderId="0" applyAlignment="1" pivotButton="0" quotePrefix="0" xfId="0">
      <alignment horizontal="centerContinuous"/>
    </xf>
    <xf numFmtId="172" fontId="12" fillId="10" borderId="0" applyAlignment="1" pivotButton="0" quotePrefix="0" xfId="0">
      <alignment horizontal="centerContinuous"/>
    </xf>
    <xf numFmtId="0" fontId="14" fillId="0" borderId="12" applyAlignment="1" pivotButton="0" quotePrefix="0" xfId="0">
      <alignment horizontal="right"/>
    </xf>
    <xf numFmtId="167" fontId="14" fillId="0" borderId="12" applyAlignment="1" pivotButton="0" quotePrefix="0" xfId="0">
      <alignment horizontal="right"/>
    </xf>
    <xf numFmtId="181" fontId="12" fillId="10" borderId="0" applyAlignment="1" pivotButton="0" quotePrefix="0" xfId="0">
      <alignment horizontal="centerContinuous"/>
    </xf>
    <xf numFmtId="181" fontId="12" fillId="0" borderId="0" applyAlignment="1" pivotButton="0" quotePrefix="0" xfId="0">
      <alignment horizontal="centerContinuous"/>
    </xf>
    <xf numFmtId="0" fontId="12" fillId="0" borderId="0" applyAlignment="1" pivotButton="0" quotePrefix="0" xfId="0">
      <alignment horizontal="centerContinuous"/>
    </xf>
    <xf numFmtId="172" fontId="12" fillId="0" borderId="0" applyAlignment="1" pivotButton="0" quotePrefix="0" xfId="0">
      <alignment horizontal="centerContinuous"/>
    </xf>
    <xf numFmtId="1" fontId="8" fillId="0" borderId="0" pivotButton="0" quotePrefix="0" xfId="1"/>
    <xf numFmtId="0" fontId="10" fillId="11" borderId="0" pivotButton="0" quotePrefix="0" xfId="1"/>
    <xf numFmtId="0" fontId="11" fillId="11" borderId="0" pivotButton="0" quotePrefix="0" xfId="1"/>
    <xf numFmtId="0" fontId="10" fillId="0" borderId="0" applyAlignment="1" pivotButton="0" quotePrefix="0" xfId="1">
      <alignment horizontal="centerContinuous"/>
    </xf>
    <xf numFmtId="0" fontId="14" fillId="0" borderId="7" pivotButton="0" quotePrefix="0" xfId="1"/>
    <xf numFmtId="165" fontId="14" fillId="0" borderId="7" pivotButton="0" quotePrefix="0" xfId="1"/>
    <xf numFmtId="167" fontId="14" fillId="0" borderId="0" pivotButton="0" quotePrefix="0" xfId="0"/>
    <xf numFmtId="0" fontId="14" fillId="0" borderId="7" pivotButton="0" quotePrefix="0" xfId="0"/>
    <xf numFmtId="176" fontId="14" fillId="0" borderId="7" pivotButton="0" quotePrefix="0" xfId="0"/>
    <xf numFmtId="174" fontId="14" fillId="0" borderId="7" pivotButton="0" quotePrefix="0" xfId="0"/>
    <xf numFmtId="182" fontId="8" fillId="0" borderId="0" applyAlignment="1" pivotButton="0" quotePrefix="0" xfId="1">
      <alignment horizontal="right"/>
    </xf>
    <xf numFmtId="0" fontId="12" fillId="14" borderId="7" pivotButton="0" quotePrefix="0" xfId="1"/>
    <xf numFmtId="0" fontId="8" fillId="14" borderId="7" pivotButton="0" quotePrefix="0" xfId="1"/>
    <xf numFmtId="167" fontId="12" fillId="14" borderId="7" pivotButton="0" quotePrefix="0" xfId="0"/>
    <xf numFmtId="167" fontId="12" fillId="14" borderId="6" pivotButton="0" quotePrefix="0" xfId="0"/>
    <xf numFmtId="180" fontId="12" fillId="14" borderId="7" pivotButton="0" quotePrefix="0" xfId="0"/>
    <xf numFmtId="0" fontId="9" fillId="14" borderId="7" pivotButton="0" quotePrefix="0" xfId="1"/>
    <xf numFmtId="0" fontId="9" fillId="14" borderId="15" pivotButton="0" quotePrefix="0" xfId="1"/>
    <xf numFmtId="172" fontId="8" fillId="0" borderId="15" pivotButton="0" quotePrefix="0" xfId="1"/>
    <xf numFmtId="172" fontId="9" fillId="14" borderId="7" pivotButton="0" quotePrefix="0" xfId="1"/>
    <xf numFmtId="172" fontId="9" fillId="0" borderId="0" pivotButton="0" quotePrefix="0" xfId="1"/>
    <xf numFmtId="172" fontId="9" fillId="14" borderId="15" pivotButton="0" quotePrefix="0" xfId="1"/>
    <xf numFmtId="172" fontId="12" fillId="0" borderId="0" pivotButton="0" quotePrefix="0" xfId="1"/>
    <xf numFmtId="172" fontId="14" fillId="0" borderId="0" pivotButton="0" quotePrefix="0" xfId="1"/>
    <xf numFmtId="172" fontId="8" fillId="0" borderId="0" applyAlignment="1" pivotButton="0" quotePrefix="0" xfId="1">
      <alignment horizontal="right"/>
    </xf>
    <xf numFmtId="172" fontId="13" fillId="12" borderId="20" pivotButton="0" quotePrefix="0" xfId="1"/>
    <xf numFmtId="172" fontId="12" fillId="14" borderId="7" pivotButton="0" quotePrefix="0" xfId="1"/>
    <xf numFmtId="172" fontId="13" fillId="12" borderId="20" applyAlignment="1" pivotButton="0" quotePrefix="0" xfId="1">
      <alignment horizontal="right"/>
    </xf>
    <xf numFmtId="172" fontId="8" fillId="0" borderId="10" pivotButton="0" quotePrefix="0" xfId="1"/>
    <xf numFmtId="0" fontId="9" fillId="14" borderId="0" pivotButton="0" quotePrefix="0" xfId="1"/>
    <xf numFmtId="172" fontId="9" fillId="14" borderId="0" pivotButton="0" quotePrefix="0" xfId="1"/>
    <xf numFmtId="0" fontId="12" fillId="14" borderId="0" pivotButton="0" quotePrefix="0" xfId="1"/>
    <xf numFmtId="172" fontId="12" fillId="14" borderId="0" pivotButton="0" quotePrefix="0" xfId="1"/>
    <xf numFmtId="166" fontId="13" fillId="12" borderId="35" pivotButton="0" quotePrefix="0" xfId="1"/>
    <xf numFmtId="0" fontId="9" fillId="46" borderId="0" pivotButton="0" quotePrefix="0" xfId="1"/>
    <xf numFmtId="169" fontId="9" fillId="46" borderId="0" pivotButton="0" quotePrefix="0" xfId="1"/>
    <xf numFmtId="182" fontId="14" fillId="0" borderId="0" pivotButton="0" quotePrefix="0" xfId="0"/>
    <xf numFmtId="0" fontId="10" fillId="0" borderId="0" pivotButton="0" quotePrefix="0" xfId="1"/>
    <xf numFmtId="182" fontId="8" fillId="0" borderId="0" pivotButton="0" quotePrefix="0" xfId="1"/>
    <xf numFmtId="167" fontId="14" fillId="0" borderId="0" applyAlignment="1" pivotButton="0" quotePrefix="0" xfId="1">
      <alignment horizontal="right"/>
    </xf>
    <xf numFmtId="0" fontId="9" fillId="14" borderId="12" applyAlignment="1" pivotButton="0" quotePrefix="0" xfId="1">
      <alignment horizontal="left"/>
    </xf>
    <xf numFmtId="0" fontId="9" fillId="14" borderId="0" applyAlignment="1" pivotButton="0" quotePrefix="0" xfId="1">
      <alignment horizontal="left"/>
    </xf>
    <xf numFmtId="0" fontId="9" fillId="14" borderId="14" applyAlignment="1" pivotButton="0" quotePrefix="0" xfId="1">
      <alignment horizontal="left"/>
    </xf>
    <xf numFmtId="0" fontId="9" fillId="14" borderId="15" applyAlignment="1" pivotButton="0" quotePrefix="0" xfId="1">
      <alignment horizontal="left"/>
    </xf>
    <xf numFmtId="0" fontId="79" fillId="0" borderId="0" pivotButton="0" quotePrefix="0" xfId="1"/>
    <xf numFmtId="183" fontId="8" fillId="0" borderId="0" pivotButton="0" quotePrefix="0" xfId="405"/>
    <xf numFmtId="0" fontId="8" fillId="48" borderId="0" pivotButton="0" quotePrefix="0" xfId="1"/>
    <xf numFmtId="0" fontId="5" fillId="0" borderId="0" pivotButton="0" quotePrefix="0" xfId="401"/>
    <xf numFmtId="173" fontId="1" fillId="0" borderId="0" pivotButton="0" quotePrefix="0" xfId="4"/>
    <xf numFmtId="173" fontId="62" fillId="0" borderId="0" pivotButton="0" quotePrefix="0" xfId="282"/>
    <xf numFmtId="0" fontId="9" fillId="46" borderId="36" pivotButton="0" quotePrefix="0" xfId="1"/>
    <xf numFmtId="0" fontId="9" fillId="46" borderId="37" pivotButton="0" quotePrefix="0" xfId="1"/>
    <xf numFmtId="167" fontId="12" fillId="46" borderId="37" pivotButton="0" quotePrefix="0" xfId="1"/>
    <xf numFmtId="167" fontId="12" fillId="46" borderId="38" pivotButton="0" quotePrefix="0" xfId="1"/>
    <xf numFmtId="0" fontId="9" fillId="46" borderId="39" pivotButton="0" quotePrefix="0" xfId="1"/>
    <xf numFmtId="169" fontId="9" fillId="46" borderId="40" pivotButton="0" quotePrefix="0" xfId="1"/>
    <xf numFmtId="0" fontId="9" fillId="46" borderId="41" pivotButton="0" quotePrefix="0" xfId="1"/>
    <xf numFmtId="0" fontId="9" fillId="46" borderId="42" pivotButton="0" quotePrefix="0" xfId="1"/>
    <xf numFmtId="182" fontId="9" fillId="46" borderId="42" applyAlignment="1" pivotButton="0" quotePrefix="0" xfId="1">
      <alignment horizontal="right"/>
    </xf>
    <xf numFmtId="182" fontId="9" fillId="46" borderId="43" applyAlignment="1" pivotButton="0" quotePrefix="0" xfId="1">
      <alignment horizontal="right"/>
    </xf>
    <xf numFmtId="0" fontId="78" fillId="0" borderId="0" pivotButton="0" quotePrefix="0" xfId="1"/>
    <xf numFmtId="183" fontId="81" fillId="0" borderId="0" applyAlignment="1" pivotButton="0" quotePrefix="0" xfId="405">
      <alignment horizontal="center" vertical="center"/>
    </xf>
    <xf numFmtId="183" fontId="81" fillId="0" borderId="0" applyAlignment="1" pivotButton="0" quotePrefix="0" xfId="405">
      <alignment horizontal="left" vertical="center"/>
    </xf>
    <xf numFmtId="0" fontId="8" fillId="0" borderId="0" applyAlignment="1" pivotButton="0" quotePrefix="0" xfId="404">
      <alignment vertical="center"/>
    </xf>
    <xf numFmtId="183" fontId="81" fillId="0" borderId="0" applyAlignment="1" pivotButton="0" quotePrefix="0" xfId="405">
      <alignment horizontal="left" vertical="center"/>
    </xf>
    <xf numFmtId="183" fontId="8" fillId="0" borderId="0" applyAlignment="1" pivotButton="0" quotePrefix="0" xfId="405">
      <alignment vertical="center"/>
    </xf>
    <xf numFmtId="183" fontId="8" fillId="0" borderId="0" applyAlignment="1" pivotButton="0" quotePrefix="0" xfId="404">
      <alignment vertical="center"/>
    </xf>
    <xf numFmtId="0" fontId="8" fillId="0" borderId="0" applyAlignment="1" pivotButton="0" quotePrefix="0" xfId="1">
      <alignment vertical="center"/>
    </xf>
    <xf numFmtId="0" fontId="15" fillId="0" borderId="0" applyAlignment="1" pivotButton="0" quotePrefix="0" xfId="1">
      <alignment horizontal="left" indent="1"/>
    </xf>
    <xf numFmtId="184" fontId="33" fillId="50" borderId="0" applyAlignment="1" pivotButton="0" quotePrefix="0" xfId="0">
      <alignment vertical="center"/>
    </xf>
    <xf numFmtId="0" fontId="84" fillId="0" borderId="0" pivotButton="0" quotePrefix="0" xfId="1"/>
    <xf numFmtId="0" fontId="33" fillId="50" borderId="0" pivotButton="0" quotePrefix="0" xfId="1"/>
    <xf numFmtId="167" fontId="33" fillId="50" borderId="0" pivotButton="0" quotePrefix="0" xfId="1"/>
    <xf numFmtId="167" fontId="85" fillId="0" borderId="0" pivotButton="0" quotePrefix="0" xfId="1"/>
    <xf numFmtId="167" fontId="86" fillId="50" borderId="0" pivotButton="0" quotePrefix="0" xfId="1"/>
    <xf numFmtId="167" fontId="85" fillId="49" borderId="0" pivotButton="0" quotePrefix="0" xfId="1"/>
    <xf numFmtId="167" fontId="85" fillId="10" borderId="0" pivotButton="0" quotePrefix="0" xfId="1"/>
    <xf numFmtId="184" fontId="85" fillId="0" borderId="0" applyAlignment="1" pivotButton="0" quotePrefix="0" xfId="0">
      <alignment vertical="center"/>
    </xf>
    <xf numFmtId="0" fontId="14" fillId="0" borderId="10" pivotButton="0" quotePrefix="0" xfId="0"/>
    <xf numFmtId="184" fontId="85" fillId="49" borderId="0" applyAlignment="1" pivotButton="0" quotePrefix="0" xfId="0">
      <alignment vertical="center"/>
    </xf>
    <xf numFmtId="184" fontId="85" fillId="10" borderId="0" applyAlignment="1" pivotButton="0" quotePrefix="0" xfId="0">
      <alignment vertical="center"/>
    </xf>
    <xf numFmtId="0" fontId="91" fillId="51" borderId="45" applyAlignment="1" pivotButton="0" quotePrefix="0" xfId="407">
      <alignment horizontal="centerContinuous" vertical="center"/>
    </xf>
    <xf numFmtId="0" fontId="91" fillId="51" borderId="46" applyAlignment="1" pivotButton="0" quotePrefix="0" xfId="407">
      <alignment horizontal="centerContinuous" vertical="center"/>
    </xf>
    <xf numFmtId="0" fontId="92" fillId="0" borderId="0" pivotButton="0" quotePrefix="0" xfId="1"/>
    <xf numFmtId="0" fontId="91" fillId="51" borderId="44" applyAlignment="1" pivotButton="0" quotePrefix="0" xfId="407">
      <alignment horizontal="centerContinuous" vertical="center"/>
    </xf>
    <xf numFmtId="0" fontId="91" fillId="0" borderId="0" applyAlignment="1" pivotButton="0" quotePrefix="0" xfId="407">
      <alignment horizontal="centerContinuous" vertical="center"/>
    </xf>
    <xf numFmtId="0" fontId="91" fillId="0" borderId="0" applyAlignment="1" pivotButton="0" quotePrefix="0" xfId="408">
      <alignment horizontal="right" vertical="center"/>
    </xf>
    <xf numFmtId="185" fontId="92" fillId="0" borderId="0" applyAlignment="1" pivotButton="0" quotePrefix="0" xfId="407">
      <alignment horizontal="right"/>
    </xf>
    <xf numFmtId="172" fontId="84" fillId="0" borderId="0" applyAlignment="1" pivotButton="0" quotePrefix="0" xfId="407">
      <alignment horizontal="right"/>
    </xf>
    <xf numFmtId="9" fontId="93" fillId="0" borderId="0" pivotButton="0" quotePrefix="0" xfId="3"/>
    <xf numFmtId="172" fontId="92" fillId="0" borderId="0" pivotButton="0" quotePrefix="0" xfId="1"/>
    <xf numFmtId="0" fontId="100" fillId="0" borderId="0" pivotButton="0" quotePrefix="0" xfId="407"/>
    <xf numFmtId="180" fontId="84" fillId="0" borderId="0" applyAlignment="1" pivotButton="0" quotePrefix="0" xfId="407">
      <alignment horizontal="center" vertical="center"/>
    </xf>
    <xf numFmtId="185" fontId="100" fillId="0" borderId="0" applyAlignment="1" pivotButton="0" quotePrefix="0" xfId="407">
      <alignment horizontal="right"/>
    </xf>
    <xf numFmtId="0" fontId="91" fillId="53" borderId="44" applyAlignment="1" pivotButton="0" quotePrefix="0" xfId="407">
      <alignment horizontal="centerContinuous" vertical="center"/>
    </xf>
    <xf numFmtId="0" fontId="97" fillId="53" borderId="45" applyAlignment="1" pivotButton="0" quotePrefix="0" xfId="407">
      <alignment horizontal="centerContinuous" vertical="center"/>
    </xf>
    <xf numFmtId="0" fontId="105" fillId="0" borderId="0" pivotButton="0" quotePrefix="0" xfId="1"/>
    <xf numFmtId="0" fontId="100" fillId="0" borderId="0" applyAlignment="1" pivotButton="0" quotePrefix="0" xfId="407">
      <alignment vertical="center"/>
    </xf>
    <xf numFmtId="0" fontId="84" fillId="0" borderId="0" applyAlignment="1" pivotButton="0" quotePrefix="0" xfId="1">
      <alignment vertical="center"/>
    </xf>
    <xf numFmtId="0" fontId="84" fillId="0" borderId="0" applyAlignment="1" pivotButton="0" quotePrefix="0" xfId="407">
      <alignment vertical="center" wrapText="1"/>
    </xf>
    <xf numFmtId="0" fontId="84" fillId="0" borderId="0" applyAlignment="1" pivotButton="0" quotePrefix="0" xfId="407">
      <alignment vertical="center"/>
    </xf>
    <xf numFmtId="0" fontId="0" fillId="0" borderId="0" applyAlignment="1" pivotButton="0" quotePrefix="0" xfId="0">
      <alignment vertical="center"/>
    </xf>
    <xf numFmtId="0" fontId="91" fillId="53" borderId="45" applyAlignment="1" pivotButton="0" quotePrefix="0" xfId="407">
      <alignment horizontal="centerContinuous" vertical="center" wrapText="1"/>
    </xf>
    <xf numFmtId="0" fontId="91" fillId="51" borderId="45" applyAlignment="1" pivotButton="0" quotePrefix="0" xfId="407">
      <alignment horizontal="centerContinuous" vertical="center" wrapText="1"/>
    </xf>
    <xf numFmtId="0" fontId="91" fillId="51" borderId="46" applyAlignment="1" pivotButton="0" quotePrefix="0" xfId="407">
      <alignment horizontal="centerContinuous" vertical="center" wrapText="1"/>
    </xf>
    <xf numFmtId="0" fontId="100" fillId="0" borderId="47" applyAlignment="1" pivotButton="0" quotePrefix="0" xfId="407">
      <alignment vertical="center"/>
    </xf>
    <xf numFmtId="0" fontId="96" fillId="0" borderId="47" applyAlignment="1" pivotButton="0" quotePrefix="0" xfId="407">
      <alignment vertical="center"/>
    </xf>
    <xf numFmtId="0" fontId="101" fillId="0" borderId="0" applyAlignment="1" pivotButton="0" quotePrefix="0" xfId="407">
      <alignment horizontal="right" vertical="center"/>
    </xf>
    <xf numFmtId="0" fontId="101" fillId="0" borderId="48" applyAlignment="1" pivotButton="0" quotePrefix="0" xfId="407">
      <alignment horizontal="right" vertical="center"/>
    </xf>
    <xf numFmtId="0" fontId="96" fillId="0" borderId="0" applyAlignment="1" pivotButton="0" quotePrefix="0" xfId="407">
      <alignment vertical="center"/>
    </xf>
    <xf numFmtId="0" fontId="92" fillId="52" borderId="47" applyAlignment="1" pivotButton="0" quotePrefix="0" xfId="407">
      <alignment vertical="center"/>
    </xf>
    <xf numFmtId="172" fontId="92" fillId="52" borderId="0" applyAlignment="1" pivotButton="0" quotePrefix="0" xfId="407">
      <alignment horizontal="right" vertical="center"/>
    </xf>
    <xf numFmtId="172" fontId="92" fillId="52" borderId="52" applyAlignment="1" pivotButton="0" quotePrefix="0" xfId="407">
      <alignment horizontal="right" vertical="center"/>
    </xf>
    <xf numFmtId="172" fontId="92" fillId="52" borderId="48" applyAlignment="1" pivotButton="0" quotePrefix="0" xfId="407">
      <alignment horizontal="right" vertical="center"/>
    </xf>
    <xf numFmtId="0" fontId="92" fillId="52" borderId="0" applyAlignment="1" pivotButton="0" quotePrefix="0" xfId="407">
      <alignment vertical="center"/>
    </xf>
    <xf numFmtId="185" fontId="92" fillId="52" borderId="0" applyAlignment="1" pivotButton="0" quotePrefix="0" xfId="407">
      <alignment horizontal="right" vertical="center"/>
    </xf>
    <xf numFmtId="185" fontId="92" fillId="52" borderId="48" applyAlignment="1" pivotButton="0" quotePrefix="0" xfId="407">
      <alignment horizontal="right" vertical="center"/>
    </xf>
    <xf numFmtId="3" fontId="84" fillId="0" borderId="47" applyAlignment="1" pivotButton="0" quotePrefix="0" xfId="407">
      <alignment vertical="center"/>
    </xf>
    <xf numFmtId="172" fontId="93" fillId="0" borderId="0" applyAlignment="1" pivotButton="0" quotePrefix="0" xfId="407">
      <alignment horizontal="right" vertical="center"/>
    </xf>
    <xf numFmtId="172" fontId="84" fillId="0" borderId="0" applyAlignment="1" pivotButton="0" quotePrefix="0" xfId="407">
      <alignment horizontal="right" vertical="center"/>
    </xf>
    <xf numFmtId="172" fontId="84" fillId="0" borderId="48" applyAlignment="1" pivotButton="0" quotePrefix="0" xfId="407">
      <alignment horizontal="right" vertical="center"/>
    </xf>
    <xf numFmtId="3" fontId="100" fillId="0" borderId="47" applyAlignment="1" pivotButton="0" quotePrefix="0" xfId="407">
      <alignment vertical="center"/>
    </xf>
    <xf numFmtId="3" fontId="100" fillId="0" borderId="0" applyAlignment="1" pivotButton="0" quotePrefix="0" xfId="407">
      <alignment vertical="center"/>
    </xf>
    <xf numFmtId="185" fontId="100" fillId="0" borderId="0" applyAlignment="1" pivotButton="0" quotePrefix="0" xfId="407">
      <alignment horizontal="right" vertical="center"/>
    </xf>
    <xf numFmtId="185" fontId="100" fillId="0" borderId="48" applyAlignment="1" pivotButton="0" quotePrefix="0" xfId="407">
      <alignment horizontal="right" vertical="center"/>
    </xf>
    <xf numFmtId="172" fontId="98" fillId="52" borderId="0" applyAlignment="1" pivotButton="0" quotePrefix="0" xfId="407">
      <alignment horizontal="right" vertical="center"/>
    </xf>
    <xf numFmtId="0" fontId="84" fillId="0" borderId="47" applyAlignment="1" pivotButton="0" quotePrefix="0" xfId="407">
      <alignment vertical="center"/>
    </xf>
    <xf numFmtId="0" fontId="84" fillId="0" borderId="50" applyAlignment="1" pivotButton="0" quotePrefix="0" xfId="407">
      <alignment vertical="center"/>
    </xf>
    <xf numFmtId="172" fontId="99" fillId="0" borderId="0" applyAlignment="1" pivotButton="0" quotePrefix="0" xfId="407">
      <alignment vertical="center"/>
    </xf>
    <xf numFmtId="172" fontId="84" fillId="0" borderId="0" applyAlignment="1" pivotButton="0" quotePrefix="0" xfId="407">
      <alignment vertical="center"/>
    </xf>
    <xf numFmtId="172" fontId="84" fillId="0" borderId="48" applyAlignment="1" pivotButton="0" quotePrefix="0" xfId="407">
      <alignment vertical="center"/>
    </xf>
    <xf numFmtId="172" fontId="95" fillId="0" borderId="0" applyAlignment="1" pivotButton="0" quotePrefix="0" xfId="407">
      <alignment vertical="center"/>
    </xf>
    <xf numFmtId="172" fontId="93" fillId="0" borderId="0" applyAlignment="1" pivotButton="0" quotePrefix="0" xfId="407">
      <alignment vertical="center"/>
    </xf>
    <xf numFmtId="172" fontId="95" fillId="0" borderId="48" applyAlignment="1" pivotButton="0" quotePrefix="0" xfId="407">
      <alignment vertical="center"/>
    </xf>
    <xf numFmtId="0" fontId="94" fillId="0" borderId="0" applyAlignment="1" pivotButton="0" quotePrefix="0" xfId="407">
      <alignment horizontal="left" vertical="center"/>
    </xf>
    <xf numFmtId="0" fontId="92" fillId="0" borderId="0" applyAlignment="1" pivotButton="0" quotePrefix="0" xfId="407">
      <alignment vertical="center"/>
    </xf>
    <xf numFmtId="172" fontId="92" fillId="0" borderId="0" applyAlignment="1" pivotButton="0" quotePrefix="0" xfId="407">
      <alignment vertical="center"/>
    </xf>
    <xf numFmtId="0" fontId="100" fillId="0" borderId="47" applyAlignment="1" pivotButton="0" quotePrefix="0" xfId="407">
      <alignment horizontal="left" vertical="center"/>
    </xf>
    <xf numFmtId="0" fontId="94" fillId="0" borderId="0" applyAlignment="1" pivotButton="0" quotePrefix="0" xfId="407">
      <alignment vertical="center"/>
    </xf>
    <xf numFmtId="0" fontId="92" fillId="52" borderId="49" applyAlignment="1" pivotButton="0" quotePrefix="0" xfId="407">
      <alignment horizontal="left" vertical="center"/>
    </xf>
    <xf numFmtId="172" fontId="92" fillId="52" borderId="50" applyAlignment="1" pivotButton="0" quotePrefix="0" xfId="407">
      <alignment horizontal="right" vertical="center"/>
    </xf>
    <xf numFmtId="172" fontId="92" fillId="52" borderId="51" applyAlignment="1" pivotButton="0" quotePrefix="0" xfId="407">
      <alignment horizontal="right" vertical="center"/>
    </xf>
    <xf numFmtId="186" fontId="84" fillId="0" borderId="0" applyAlignment="1" pivotButton="0" quotePrefix="0" xfId="407">
      <alignment vertical="center"/>
    </xf>
    <xf numFmtId="0" fontId="102" fillId="0" borderId="47" applyAlignment="1" pivotButton="0" quotePrefix="0" xfId="407">
      <alignment horizontal="left" vertical="center"/>
    </xf>
    <xf numFmtId="0" fontId="92" fillId="0" borderId="0" applyAlignment="1" pivotButton="0" quotePrefix="0" xfId="1">
      <alignment vertical="center"/>
    </xf>
    <xf numFmtId="172" fontId="92" fillId="0" borderId="0" applyAlignment="1" pivotButton="0" quotePrefix="0" xfId="407">
      <alignment horizontal="right" vertical="center"/>
    </xf>
    <xf numFmtId="187" fontId="92" fillId="0" borderId="48" applyAlignment="1" pivotButton="0" quotePrefix="0" xfId="407">
      <alignment vertical="center"/>
    </xf>
    <xf numFmtId="172" fontId="84" fillId="0" borderId="0" applyAlignment="1" pivotButton="0" quotePrefix="0" xfId="1">
      <alignment vertical="center"/>
    </xf>
    <xf numFmtId="172" fontId="84" fillId="0" borderId="48" applyAlignment="1" pivotButton="0" quotePrefix="0" xfId="1">
      <alignment vertical="center"/>
    </xf>
    <xf numFmtId="0" fontId="103" fillId="0" borderId="47" applyAlignment="1" pivotButton="0" quotePrefix="0" xfId="407">
      <alignment horizontal="left" vertical="center"/>
    </xf>
    <xf numFmtId="0" fontId="94" fillId="0" borderId="0" applyAlignment="1" pivotButton="0" quotePrefix="0" xfId="1">
      <alignment vertical="center"/>
    </xf>
    <xf numFmtId="176" fontId="103" fillId="0" borderId="0" applyAlignment="1" pivotButton="0" quotePrefix="0" xfId="407">
      <alignment horizontal="center" vertical="center"/>
    </xf>
    <xf numFmtId="187" fontId="84" fillId="0" borderId="48" applyAlignment="1" pivotButton="0" quotePrefix="0" xfId="407">
      <alignment vertical="center"/>
    </xf>
    <xf numFmtId="172" fontId="92" fillId="0" borderId="0" applyAlignment="1" pivotButton="0" quotePrefix="0" xfId="1">
      <alignment vertical="center"/>
    </xf>
    <xf numFmtId="172" fontId="104" fillId="0" borderId="0" applyAlignment="1" pivotButton="0" quotePrefix="0" xfId="1">
      <alignment vertical="center"/>
    </xf>
    <xf numFmtId="0" fontId="102" fillId="0" borderId="47" applyAlignment="1" pivotButton="0" quotePrefix="0" xfId="407">
      <alignment vertical="center"/>
    </xf>
    <xf numFmtId="187" fontId="100" fillId="0" borderId="48" applyAlignment="1" pivotButton="0" quotePrefix="0" xfId="407">
      <alignment vertical="center"/>
    </xf>
    <xf numFmtId="186" fontId="84" fillId="0" borderId="0" applyAlignment="1" pivotButton="0" quotePrefix="0" xfId="1">
      <alignment vertical="center"/>
    </xf>
    <xf numFmtId="176" fontId="100" fillId="0" borderId="0" applyAlignment="1" pivotButton="0" quotePrefix="0" xfId="407">
      <alignment horizontal="center" vertical="center"/>
    </xf>
    <xf numFmtId="172" fontId="92" fillId="52" borderId="49" applyAlignment="1" pivotButton="0" quotePrefix="0" xfId="407">
      <alignment horizontal="left" vertical="center"/>
    </xf>
    <xf numFmtId="187" fontId="92" fillId="52" borderId="51" applyAlignment="1" pivotButton="0" quotePrefix="0" xfId="407">
      <alignment vertical="center"/>
    </xf>
    <xf numFmtId="0" fontId="91" fillId="51" borderId="56" applyAlignment="1" pivotButton="0" quotePrefix="0" xfId="408">
      <alignment horizontal="left" vertical="center"/>
    </xf>
    <xf numFmtId="0" fontId="91" fillId="51" borderId="57" applyAlignment="1" pivotButton="0" quotePrefix="0" xfId="408">
      <alignment horizontal="left" vertical="center"/>
    </xf>
    <xf numFmtId="0" fontId="91" fillId="51" borderId="57" applyAlignment="1" pivotButton="0" quotePrefix="0" xfId="408">
      <alignment vertical="center"/>
    </xf>
    <xf numFmtId="0" fontId="100" fillId="0" borderId="47" pivotButton="0" quotePrefix="0" xfId="407"/>
    <xf numFmtId="0" fontId="92" fillId="52" borderId="49" applyAlignment="1" pivotButton="0" quotePrefix="0" xfId="407">
      <alignment vertical="center"/>
    </xf>
    <xf numFmtId="172" fontId="98" fillId="52" borderId="50" applyAlignment="1" pivotButton="0" quotePrefix="0" xfId="407">
      <alignment horizontal="right" vertical="center"/>
    </xf>
    <xf numFmtId="0" fontId="92" fillId="52" borderId="50" applyAlignment="1" pivotButton="0" quotePrefix="0" xfId="407">
      <alignment vertical="center"/>
    </xf>
    <xf numFmtId="185" fontId="92" fillId="52" borderId="50" applyAlignment="1" pivotButton="0" quotePrefix="0" xfId="407">
      <alignment horizontal="right" vertical="center"/>
    </xf>
    <xf numFmtId="185" fontId="92" fillId="52" borderId="51" applyAlignment="1" pivotButton="0" quotePrefix="0" xfId="407">
      <alignment horizontal="right" vertical="center"/>
    </xf>
    <xf numFmtId="173" fontId="12" fillId="0" borderId="0" pivotButton="0" quotePrefix="0" xfId="4"/>
    <xf numFmtId="3" fontId="92" fillId="52" borderId="56" applyAlignment="1" pivotButton="0" quotePrefix="0" xfId="407">
      <alignment vertical="center"/>
    </xf>
    <xf numFmtId="3" fontId="92" fillId="52" borderId="57" applyAlignment="1" pivotButton="0" quotePrefix="0" xfId="407">
      <alignment vertical="center"/>
    </xf>
    <xf numFmtId="172" fontId="92" fillId="52" borderId="57" applyAlignment="1" pivotButton="0" quotePrefix="0" xfId="407">
      <alignment vertical="center"/>
    </xf>
    <xf numFmtId="172" fontId="92" fillId="52" borderId="57" applyAlignment="1" pivotButton="0" quotePrefix="0" xfId="407">
      <alignment horizontal="right" vertical="center"/>
    </xf>
    <xf numFmtId="172" fontId="92" fillId="52" borderId="59" applyAlignment="1" pivotButton="0" quotePrefix="0" xfId="407">
      <alignment horizontal="right" vertical="center"/>
    </xf>
    <xf numFmtId="172" fontId="92" fillId="52" borderId="58" applyAlignment="1" pivotButton="0" quotePrefix="0" xfId="407">
      <alignment horizontal="right" vertical="center"/>
    </xf>
    <xf numFmtId="0" fontId="9" fillId="0" borderId="60" pivotButton="0" quotePrefix="0" xfId="1"/>
    <xf numFmtId="0" fontId="8" fillId="0" borderId="61" pivotButton="0" quotePrefix="0" xfId="1"/>
    <xf numFmtId="0" fontId="8" fillId="0" borderId="62" pivotButton="0" quotePrefix="0" xfId="1"/>
    <xf numFmtId="0" fontId="8" fillId="0" borderId="63" pivotButton="0" quotePrefix="0" xfId="1"/>
    <xf numFmtId="0" fontId="10" fillId="0" borderId="66" pivotButton="0" quotePrefix="0" xfId="1"/>
    <xf numFmtId="0" fontId="8" fillId="0" borderId="67" pivotButton="0" quotePrefix="0" xfId="1"/>
    <xf numFmtId="0" fontId="9" fillId="14" borderId="14" pivotButton="0" quotePrefix="0" xfId="1"/>
    <xf numFmtId="0" fontId="11" fillId="0" borderId="0" pivotButton="0" quotePrefix="0" xfId="1"/>
    <xf numFmtId="188" fontId="10" fillId="0" borderId="0" applyAlignment="1" pivotButton="0" quotePrefix="0" xfId="1">
      <alignment horizontal="left"/>
    </xf>
    <xf numFmtId="0" fontId="10" fillId="0" borderId="0" applyAlignment="1" pivotButton="0" quotePrefix="0" xfId="1">
      <alignment horizontal="left" indent="1"/>
    </xf>
    <xf numFmtId="167" fontId="10" fillId="0" borderId="0" applyAlignment="1" pivotButton="0" quotePrefix="0" xfId="1">
      <alignment horizontal="left" indent="1"/>
    </xf>
    <xf numFmtId="0" fontId="10" fillId="0" borderId="66" applyAlignment="1" pivotButton="0" quotePrefix="0" xfId="1">
      <alignment horizontal="left" indent="1"/>
    </xf>
    <xf numFmtId="167" fontId="10" fillId="0" borderId="66" applyAlignment="1" pivotButton="0" quotePrefix="0" xfId="1">
      <alignment horizontal="left" indent="1"/>
    </xf>
    <xf numFmtId="0" fontId="92" fillId="52" borderId="0" applyAlignment="1" pivotButton="0" quotePrefix="0" xfId="1">
      <alignment vertical="center"/>
    </xf>
    <xf numFmtId="172" fontId="92" fillId="52" borderId="0" applyAlignment="1" pivotButton="0" quotePrefix="0" xfId="1">
      <alignment vertical="center"/>
    </xf>
    <xf numFmtId="172" fontId="92" fillId="52" borderId="48" applyAlignment="1" pivotButton="0" quotePrefix="0" xfId="1">
      <alignment vertical="center"/>
    </xf>
    <xf numFmtId="0" fontId="102" fillId="52" borderId="47" applyAlignment="1" pivotButton="0" quotePrefix="0" xfId="407">
      <alignment horizontal="left" vertical="center"/>
    </xf>
    <xf numFmtId="0" fontId="91" fillId="51" borderId="57" applyAlignment="1" pivotButton="0" quotePrefix="0" xfId="408">
      <alignment horizontal="right" vertical="center"/>
    </xf>
    <xf numFmtId="0" fontId="91" fillId="51" borderId="56" applyAlignment="1" pivotButton="0" quotePrefix="0" xfId="407">
      <alignment horizontal="left" vertical="center"/>
    </xf>
    <xf numFmtId="0" fontId="91" fillId="51" borderId="57" applyAlignment="1" pivotButton="0" quotePrefix="0" xfId="407">
      <alignment horizontal="right" vertical="center"/>
    </xf>
    <xf numFmtId="0" fontId="91" fillId="51" borderId="57" applyAlignment="1" pivotButton="0" quotePrefix="0" xfId="407">
      <alignment horizontal="left" vertical="center"/>
    </xf>
    <xf numFmtId="186" fontId="91" fillId="51" borderId="58" applyAlignment="1" pivotButton="0" quotePrefix="0" xfId="407">
      <alignment horizontal="right" vertical="center"/>
    </xf>
    <xf numFmtId="187" fontId="91" fillId="51" borderId="58" applyAlignment="1" pivotButton="0" quotePrefix="0" xfId="407">
      <alignment horizontal="right" vertical="center"/>
    </xf>
    <xf numFmtId="165" fontId="15" fillId="0" borderId="0" pivotButton="0" quotePrefix="0" xfId="1"/>
    <xf numFmtId="0" fontId="8" fillId="0" borderId="12" pivotButton="0" quotePrefix="0" xfId="1"/>
    <xf numFmtId="0" fontId="87" fillId="0" borderId="0" pivotButton="0" quotePrefix="0" xfId="1"/>
    <xf numFmtId="0" fontId="8" fillId="0" borderId="10" pivotButton="0" quotePrefix="0" xfId="1"/>
    <xf numFmtId="165" fontId="8" fillId="0" borderId="10" pivotButton="0" quotePrefix="0" xfId="1"/>
    <xf numFmtId="0" fontId="107" fillId="0" borderId="0" pivotButton="0" quotePrefix="0" xfId="1"/>
    <xf numFmtId="0" fontId="108" fillId="0" borderId="0" pivotButton="0" quotePrefix="0" xfId="1"/>
    <xf numFmtId="186" fontId="84" fillId="0" borderId="0" applyAlignment="1" pivotButton="0" quotePrefix="0" xfId="407">
      <alignment horizontal="right" vertical="center"/>
    </xf>
    <xf numFmtId="0" fontId="9" fillId="0" borderId="66" pivotButton="0" quotePrefix="0" xfId="1"/>
    <xf numFmtId="0" fontId="8" fillId="0" borderId="65" pivotButton="0" quotePrefix="0" xfId="1"/>
    <xf numFmtId="0" fontId="8" fillId="0" borderId="66" pivotButton="0" quotePrefix="0" xfId="1"/>
    <xf numFmtId="188" fontId="9" fillId="0" borderId="67" applyAlignment="1" pivotButton="0" quotePrefix="0" xfId="1">
      <alignment horizontal="left"/>
    </xf>
    <xf numFmtId="167" fontId="9" fillId="0" borderId="66" applyAlignment="1" pivotButton="0" quotePrefix="0" xfId="1">
      <alignment horizontal="left" indent="1"/>
    </xf>
    <xf numFmtId="0" fontId="12" fillId="0" borderId="0" applyAlignment="1" pivotButton="0" quotePrefix="0" xfId="1">
      <alignment horizontal="center" wrapText="1"/>
    </xf>
    <xf numFmtId="10" fontId="13" fillId="12" borderId="19" pivotButton="0" quotePrefix="0" xfId="1"/>
    <xf numFmtId="189" fontId="13" fillId="12" borderId="20" pivotButton="0" quotePrefix="0" xfId="1"/>
    <xf numFmtId="0" fontId="9" fillId="0" borderId="0" applyAlignment="1" pivotButton="0" quotePrefix="0" xfId="1">
      <alignment horizontal="centerContinuous"/>
    </xf>
    <xf numFmtId="166" fontId="9" fillId="0" borderId="0" pivotButton="0" quotePrefix="0" xfId="1"/>
    <xf numFmtId="170" fontId="8" fillId="0" borderId="0" pivotButton="0" quotePrefix="0" xfId="1"/>
    <xf numFmtId="190" fontId="13" fillId="12" borderId="20" pivotButton="0" quotePrefix="0" xfId="1"/>
    <xf numFmtId="190" fontId="13" fillId="12" borderId="54" pivotButton="0" quotePrefix="0" xfId="1"/>
    <xf numFmtId="0" fontId="9" fillId="0" borderId="10" pivotButton="0" quotePrefix="0" xfId="1"/>
    <xf numFmtId="0" fontId="8" fillId="0" borderId="0" applyAlignment="1" pivotButton="0" quotePrefix="0" xfId="1">
      <alignment wrapText="1"/>
    </xf>
    <xf numFmtId="0" fontId="9" fillId="0" borderId="15" applyAlignment="1" pivotButton="0" quotePrefix="0" xfId="1">
      <alignment wrapText="1"/>
    </xf>
    <xf numFmtId="0" fontId="8" fillId="0" borderId="0" applyAlignment="1" pivotButton="0" quotePrefix="0" xfId="1">
      <alignment horizontal="centerContinuous"/>
    </xf>
    <xf numFmtId="0" fontId="9" fillId="0" borderId="0" applyAlignment="1" pivotButton="0" quotePrefix="0" xfId="1">
      <alignment wrapText="1"/>
    </xf>
    <xf numFmtId="0" fontId="9" fillId="0" borderId="7" applyAlignment="1" pivotButton="0" quotePrefix="0" xfId="1">
      <alignment horizontal="right" wrapText="1"/>
    </xf>
    <xf numFmtId="0" fontId="9" fillId="0" borderId="10" applyAlignment="1" pivotButton="0" quotePrefix="0" xfId="1">
      <alignment horizontal="right" wrapText="1"/>
    </xf>
    <xf numFmtId="0" fontId="9" fillId="0" borderId="9" applyAlignment="1" pivotButton="0" quotePrefix="0" xfId="1">
      <alignment horizontal="right" wrapText="1"/>
    </xf>
    <xf numFmtId="0" fontId="9" fillId="0" borderId="8" applyAlignment="1" pivotButton="0" quotePrefix="0" xfId="1">
      <alignment horizontal="right" wrapText="1"/>
    </xf>
    <xf numFmtId="191" fontId="13" fillId="12" borderId="20" applyAlignment="1" pivotButton="0" quotePrefix="0" xfId="1">
      <alignment horizontal="right"/>
    </xf>
    <xf numFmtId="191" fontId="13" fillId="12" borderId="71" applyAlignment="1" pivotButton="0" quotePrefix="0" xfId="1">
      <alignment horizontal="right"/>
    </xf>
    <xf numFmtId="191" fontId="13" fillId="12" borderId="72" applyAlignment="1" pivotButton="0" quotePrefix="0" xfId="1">
      <alignment horizontal="right"/>
    </xf>
    <xf numFmtId="190" fontId="8" fillId="0" borderId="10" applyAlignment="1" pivotButton="0" quotePrefix="0" xfId="1">
      <alignment horizontal="right"/>
    </xf>
    <xf numFmtId="190" fontId="8" fillId="0" borderId="0" applyAlignment="1" pivotButton="0" quotePrefix="0" xfId="1">
      <alignment horizontal="right"/>
    </xf>
    <xf numFmtId="165" fontId="8" fillId="0" borderId="0" applyAlignment="1" pivotButton="0" quotePrefix="0" xfId="1">
      <alignment horizontal="right"/>
    </xf>
    <xf numFmtId="190" fontId="9" fillId="0" borderId="10" pivotButton="0" quotePrefix="0" xfId="1"/>
    <xf numFmtId="192" fontId="107" fillId="0" borderId="0" pivotButton="0" quotePrefix="0" xfId="1"/>
    <xf numFmtId="190" fontId="8" fillId="0" borderId="74" applyAlignment="1" pivotButton="0" quotePrefix="0" xfId="1">
      <alignment horizontal="right"/>
    </xf>
    <xf numFmtId="190" fontId="8" fillId="0" borderId="75" applyAlignment="1" pivotButton="0" quotePrefix="0" xfId="1">
      <alignment horizontal="right"/>
    </xf>
    <xf numFmtId="190" fontId="13" fillId="12" borderId="69" applyAlignment="1" pivotButton="0" quotePrefix="0" xfId="1">
      <alignment horizontal="right"/>
    </xf>
    <xf numFmtId="190" fontId="13" fillId="12" borderId="20" applyAlignment="1" pivotButton="0" quotePrefix="0" xfId="1">
      <alignment horizontal="right"/>
    </xf>
    <xf numFmtId="0" fontId="9" fillId="0" borderId="0" applyAlignment="1" pivotButton="0" quotePrefix="0" xfId="1">
      <alignment horizontal="right" wrapText="1"/>
    </xf>
    <xf numFmtId="190" fontId="9" fillId="0" borderId="10" applyAlignment="1" pivotButton="0" quotePrefix="0" xfId="1">
      <alignment horizontal="right"/>
    </xf>
    <xf numFmtId="191" fontId="8" fillId="0" borderId="0" applyAlignment="1" pivotButton="0" quotePrefix="0" xfId="1">
      <alignment horizontal="right"/>
    </xf>
    <xf numFmtId="9" fontId="9" fillId="0" borderId="10" applyAlignment="1" pivotButton="0" quotePrefix="0" xfId="1">
      <alignment horizontal="right"/>
    </xf>
    <xf numFmtId="190" fontId="9" fillId="0" borderId="0" pivotButton="0" quotePrefix="0" xfId="1"/>
    <xf numFmtId="166" fontId="9" fillId="0" borderId="10" pivotButton="0" quotePrefix="0" xfId="1"/>
    <xf numFmtId="0" fontId="8" fillId="54" borderId="0" pivotButton="0" quotePrefix="0" xfId="1"/>
    <xf numFmtId="190" fontId="8" fillId="0" borderId="9" applyAlignment="1" pivotButton="0" quotePrefix="0" xfId="1">
      <alignment horizontal="right"/>
    </xf>
    <xf numFmtId="190" fontId="8" fillId="0" borderId="12" applyAlignment="1" pivotButton="0" quotePrefix="0" xfId="1">
      <alignment horizontal="right"/>
    </xf>
    <xf numFmtId="190" fontId="9" fillId="0" borderId="9" applyAlignment="1" pivotButton="0" quotePrefix="0" xfId="1">
      <alignment horizontal="right"/>
    </xf>
    <xf numFmtId="190" fontId="9" fillId="0" borderId="9" pivotButton="0" quotePrefix="0" xfId="1"/>
    <xf numFmtId="189" fontId="13" fillId="12" borderId="20" applyAlignment="1" pivotButton="0" quotePrefix="0" xfId="1">
      <alignment horizontal="right"/>
    </xf>
    <xf numFmtId="166" fontId="13" fillId="12" borderId="20" applyAlignment="1" pivotButton="0" quotePrefix="0" xfId="1">
      <alignment horizontal="right"/>
    </xf>
    <xf numFmtId="166" fontId="8" fillId="0" borderId="0" applyAlignment="1" pivotButton="0" quotePrefix="0" xfId="1">
      <alignment horizontal="right"/>
    </xf>
    <xf numFmtId="0" fontId="8" fillId="0" borderId="0" applyAlignment="1" pivotButton="0" quotePrefix="0" xfId="1">
      <alignment horizontal="right" wrapText="1"/>
    </xf>
    <xf numFmtId="164" fontId="12" fillId="0" borderId="0" pivotButton="0" quotePrefix="0" xfId="1"/>
    <xf numFmtId="0" fontId="12" fillId="0" borderId="0" applyAlignment="1" pivotButton="0" quotePrefix="0" xfId="1">
      <alignment horizontal="centerContinuous"/>
    </xf>
    <xf numFmtId="1" fontId="109" fillId="0" borderId="0" pivotButton="0" quotePrefix="0" xfId="1"/>
    <xf numFmtId="164" fontId="12" fillId="0" borderId="0" applyAlignment="1" pivotButton="0" quotePrefix="0" xfId="1">
      <alignment horizontal="right"/>
    </xf>
    <xf numFmtId="0" fontId="8" fillId="54" borderId="12" pivotButton="0" quotePrefix="0" xfId="1"/>
    <xf numFmtId="9" fontId="106" fillId="0" borderId="0" pivotButton="0" quotePrefix="0" xfId="1"/>
    <xf numFmtId="190" fontId="8" fillId="0" borderId="20" applyAlignment="1" pivotButton="0" quotePrefix="0" xfId="1">
      <alignment horizontal="right"/>
    </xf>
    <xf numFmtId="190" fontId="8" fillId="0" borderId="71" applyAlignment="1" pivotButton="0" quotePrefix="0" xfId="1">
      <alignment horizontal="right"/>
    </xf>
    <xf numFmtId="164" fontId="110" fillId="0" borderId="0" pivotButton="0" quotePrefix="0" xfId="1"/>
    <xf numFmtId="165" fontId="13" fillId="12" borderId="70" pivotButton="0" quotePrefix="0" xfId="1"/>
    <xf numFmtId="166" fontId="13" fillId="12" borderId="35" applyAlignment="1" pivotButton="0" quotePrefix="0" xfId="1">
      <alignment horizontal="right"/>
    </xf>
    <xf numFmtId="190" fontId="8" fillId="0" borderId="0" pivotButton="0" quotePrefix="0" xfId="1"/>
    <xf numFmtId="9" fontId="15" fillId="0" borderId="0" pivotButton="0" quotePrefix="0" xfId="1"/>
    <xf numFmtId="177" fontId="13" fillId="12" borderId="20" pivotButton="0" quotePrefix="0" xfId="1"/>
    <xf numFmtId="0" fontId="15" fillId="0" borderId="0" applyAlignment="1" pivotButton="0" quotePrefix="0" xfId="1">
      <alignment horizontal="left" indent="2"/>
    </xf>
    <xf numFmtId="172" fontId="14" fillId="0" borderId="10" pivotButton="0" quotePrefix="0" xfId="1"/>
    <xf numFmtId="190" fontId="14" fillId="0" borderId="0" pivotButton="0" quotePrefix="0" xfId="1"/>
    <xf numFmtId="165" fontId="13" fillId="0" borderId="0" pivotButton="0" quotePrefix="0" xfId="1"/>
    <xf numFmtId="0" fontId="111" fillId="0" borderId="0" applyAlignment="1" pivotButton="0" quotePrefix="0" xfId="1">
      <alignment horizontal="right"/>
    </xf>
    <xf numFmtId="2" fontId="111" fillId="0" borderId="15" applyAlignment="1" pivotButton="0" quotePrefix="0" xfId="1">
      <alignment horizontal="right"/>
    </xf>
    <xf numFmtId="0" fontId="9" fillId="0" borderId="6" pivotButton="0" quotePrefix="0" xfId="1"/>
    <xf numFmtId="0" fontId="9" fillId="0" borderId="7" pivotButton="0" quotePrefix="0" xfId="1"/>
    <xf numFmtId="0" fontId="9" fillId="0" borderId="8" pivotButton="0" quotePrefix="0" xfId="1"/>
    <xf numFmtId="172" fontId="8" fillId="0" borderId="13" pivotButton="0" quotePrefix="0" xfId="1"/>
    <xf numFmtId="172" fontId="8" fillId="0" borderId="16" pivotButton="0" quotePrefix="0" xfId="1"/>
    <xf numFmtId="0" fontId="9" fillId="14" borderId="6" pivotButton="0" quotePrefix="0" xfId="1"/>
    <xf numFmtId="172" fontId="9" fillId="14" borderId="8" pivotButton="0" quotePrefix="0" xfId="1"/>
    <xf numFmtId="172" fontId="9" fillId="14" borderId="16" pivotButton="0" quotePrefix="0" xfId="1"/>
    <xf numFmtId="172" fontId="75" fillId="0" borderId="0" pivotButton="0" quotePrefix="0" xfId="1"/>
    <xf numFmtId="177" fontId="8" fillId="0" borderId="0" pivotButton="0" quotePrefix="0" xfId="1"/>
    <xf numFmtId="177" fontId="8" fillId="0" borderId="10" pivotButton="0" quotePrefix="0" xfId="1"/>
    <xf numFmtId="0" fontId="9" fillId="0" borderId="10" applyAlignment="1" pivotButton="0" quotePrefix="0" xfId="1">
      <alignment wrapText="1"/>
    </xf>
    <xf numFmtId="164" fontId="9" fillId="0" borderId="10" applyAlignment="1" pivotButton="0" quotePrefix="0" xfId="1">
      <alignment horizontal="right" wrapText="1"/>
    </xf>
    <xf numFmtId="190" fontId="9" fillId="0" borderId="0" applyAlignment="1" pivotButton="0" quotePrefix="0" xfId="1">
      <alignment horizontal="right"/>
    </xf>
    <xf numFmtId="177" fontId="9" fillId="0" borderId="10" pivotButton="0" quotePrefix="0" xfId="1"/>
    <xf numFmtId="190" fontId="9" fillId="0" borderId="11" applyAlignment="1" pivotButton="0" quotePrefix="0" xfId="1">
      <alignment horizontal="right"/>
    </xf>
    <xf numFmtId="191" fontId="8" fillId="0" borderId="11" applyAlignment="1" pivotButton="0" quotePrefix="0" xfId="1">
      <alignment horizontal="right"/>
    </xf>
    <xf numFmtId="191" fontId="8" fillId="0" borderId="13" applyAlignment="1" pivotButton="0" quotePrefix="0" xfId="1">
      <alignment horizontal="right"/>
    </xf>
    <xf numFmtId="191" fontId="9" fillId="0" borderId="11" applyAlignment="1" pivotButton="0" quotePrefix="0" xfId="1">
      <alignment horizontal="right"/>
    </xf>
    <xf numFmtId="191" fontId="9" fillId="0" borderId="13" applyAlignment="1" pivotButton="0" quotePrefix="0" xfId="1">
      <alignment horizontal="right"/>
    </xf>
    <xf numFmtId="190" fontId="9" fillId="0" borderId="7" applyAlignment="1" pivotButton="0" quotePrefix="0" xfId="1">
      <alignment horizontal="right"/>
    </xf>
    <xf numFmtId="191" fontId="9" fillId="0" borderId="8" applyAlignment="1" pivotButton="0" quotePrefix="0" xfId="1">
      <alignment horizontal="right"/>
    </xf>
    <xf numFmtId="0" fontId="9" fillId="0" borderId="7" applyAlignment="1" pivotButton="0" quotePrefix="0" xfId="1">
      <alignment horizontal="left"/>
    </xf>
    <xf numFmtId="164" fontId="9" fillId="0" borderId="78" applyAlignment="1" pivotButton="0" quotePrefix="0" xfId="1">
      <alignment horizontal="right" wrapText="1"/>
    </xf>
    <xf numFmtId="190" fontId="8" fillId="0" borderId="52" applyAlignment="1" pivotButton="0" quotePrefix="0" xfId="1">
      <alignment horizontal="right"/>
    </xf>
    <xf numFmtId="190" fontId="9" fillId="0" borderId="78" applyAlignment="1" pivotButton="0" quotePrefix="0" xfId="1">
      <alignment horizontal="right"/>
    </xf>
    <xf numFmtId="190" fontId="9" fillId="0" borderId="77" applyAlignment="1" pivotButton="0" quotePrefix="0" xfId="1">
      <alignment horizontal="right"/>
    </xf>
    <xf numFmtId="190" fontId="9" fillId="0" borderId="52" applyAlignment="1" pivotButton="0" quotePrefix="0" xfId="1">
      <alignment horizontal="right"/>
    </xf>
    <xf numFmtId="190" fontId="8" fillId="54" borderId="9" pivotButton="0" quotePrefix="0" xfId="1"/>
    <xf numFmtId="190" fontId="8" fillId="54" borderId="0" pivotButton="0" quotePrefix="0" xfId="1"/>
    <xf numFmtId="190" fontId="8" fillId="54" borderId="78" pivotButton="0" quotePrefix="0" xfId="1"/>
    <xf numFmtId="190" fontId="8" fillId="54" borderId="52" pivotButton="0" quotePrefix="0" xfId="1"/>
    <xf numFmtId="190" fontId="9" fillId="54" borderId="9" pivotButton="0" quotePrefix="0" xfId="1"/>
    <xf numFmtId="190" fontId="9" fillId="54" borderId="78" pivotButton="0" quotePrefix="0" xfId="1"/>
    <xf numFmtId="190" fontId="9" fillId="0" borderId="79" applyAlignment="1" pivotButton="0" quotePrefix="0" xfId="1">
      <alignment horizontal="right"/>
    </xf>
    <xf numFmtId="190" fontId="9" fillId="54" borderId="80" pivotButton="0" quotePrefix="0" xfId="1"/>
    <xf numFmtId="190" fontId="8" fillId="54" borderId="80" pivotButton="0" quotePrefix="0" xfId="1"/>
    <xf numFmtId="0" fontId="9" fillId="0" borderId="9" applyAlignment="1" pivotButton="0" quotePrefix="0" xfId="1">
      <alignment horizontal="left"/>
    </xf>
    <xf numFmtId="0" fontId="8" fillId="54" borderId="10" pivotButton="0" quotePrefix="0" xfId="1"/>
    <xf numFmtId="0" fontId="15" fillId="0" borderId="0" applyAlignment="1" pivotButton="0" quotePrefix="0" xfId="1">
      <alignment horizontal="right"/>
    </xf>
    <xf numFmtId="191" fontId="15" fillId="0" borderId="0" applyAlignment="1" pivotButton="0" quotePrefix="0" xfId="1">
      <alignment horizontal="right"/>
    </xf>
    <xf numFmtId="193" fontId="15" fillId="0" borderId="0" applyAlignment="1" pivotButton="0" quotePrefix="0" xfId="1">
      <alignment horizontal="right"/>
    </xf>
    <xf numFmtId="2" fontId="8" fillId="0" borderId="0" applyAlignment="1" pivotButton="0" quotePrefix="0" xfId="1">
      <alignment horizontal="right"/>
    </xf>
    <xf numFmtId="0" fontId="15" fillId="0" borderId="12" applyAlignment="1" pivotButton="0" quotePrefix="0" xfId="1">
      <alignment horizontal="left"/>
    </xf>
    <xf numFmtId="193" fontId="15" fillId="0" borderId="13" applyAlignment="1" pivotButton="0" quotePrefix="0" xfId="1">
      <alignment horizontal="right"/>
    </xf>
    <xf numFmtId="0" fontId="8" fillId="0" borderId="14" applyAlignment="1" pivotButton="0" quotePrefix="0" xfId="1">
      <alignment horizontal="left"/>
    </xf>
    <xf numFmtId="0" fontId="8" fillId="0" borderId="15" applyAlignment="1" pivotButton="0" quotePrefix="0" xfId="1">
      <alignment horizontal="right"/>
    </xf>
    <xf numFmtId="191" fontId="8" fillId="0" borderId="15" applyAlignment="1" pivotButton="0" quotePrefix="0" xfId="1">
      <alignment horizontal="right"/>
    </xf>
    <xf numFmtId="2" fontId="8" fillId="0" borderId="15" applyAlignment="1" pivotButton="0" quotePrefix="0" xfId="1">
      <alignment horizontal="right"/>
    </xf>
    <xf numFmtId="2" fontId="8" fillId="0" borderId="16" applyAlignment="1" pivotButton="0" quotePrefix="0" xfId="1">
      <alignment horizontal="right"/>
    </xf>
    <xf numFmtId="0" fontId="15" fillId="0" borderId="12" applyAlignment="1" pivotButton="0" quotePrefix="0" xfId="1">
      <alignment horizontal="right"/>
    </xf>
    <xf numFmtId="0" fontId="8" fillId="0" borderId="14" applyAlignment="1" pivotButton="0" quotePrefix="0" xfId="1">
      <alignment horizontal="right"/>
    </xf>
    <xf numFmtId="193" fontId="15" fillId="0" borderId="52" applyAlignment="1" pivotButton="0" quotePrefix="0" xfId="1">
      <alignment horizontal="right"/>
    </xf>
    <xf numFmtId="2" fontId="8" fillId="0" borderId="79" applyAlignment="1" pivotButton="0" quotePrefix="0" xfId="1">
      <alignment horizontal="right"/>
    </xf>
    <xf numFmtId="0" fontId="8" fillId="0" borderId="79" pivotButton="0" quotePrefix="0" xfId="1"/>
    <xf numFmtId="0" fontId="8" fillId="0" borderId="9" pivotButton="0" quotePrefix="0" xfId="1"/>
    <xf numFmtId="0" fontId="8" fillId="0" borderId="10" applyAlignment="1" pivotButton="0" quotePrefix="0" xfId="1">
      <alignment horizontal="right"/>
    </xf>
    <xf numFmtId="191" fontId="8" fillId="0" borderId="10" applyAlignment="1" pivotButton="0" quotePrefix="0" xfId="1">
      <alignment horizontal="right"/>
    </xf>
    <xf numFmtId="166" fontId="8" fillId="0" borderId="10" applyAlignment="1" pivotButton="0" quotePrefix="0" xfId="1">
      <alignment horizontal="right"/>
    </xf>
    <xf numFmtId="166" fontId="8" fillId="0" borderId="11" applyAlignment="1" pivotButton="0" quotePrefix="0" xfId="1">
      <alignment horizontal="right"/>
    </xf>
    <xf numFmtId="0" fontId="9" fillId="0" borderId="0" applyAlignment="1" pivotButton="0" quotePrefix="0" xfId="1">
      <alignment horizontal="right"/>
    </xf>
    <xf numFmtId="166" fontId="8" fillId="0" borderId="13" applyAlignment="1" pivotButton="0" quotePrefix="0" xfId="1">
      <alignment horizontal="right"/>
    </xf>
    <xf numFmtId="166" fontId="8" fillId="0" borderId="15" pivotButton="0" quotePrefix="0" xfId="1"/>
    <xf numFmtId="166" fontId="8" fillId="0" borderId="16" pivotButton="0" quotePrefix="0" xfId="1"/>
    <xf numFmtId="194" fontId="107" fillId="0" borderId="0" applyAlignment="1" pivotButton="0" quotePrefix="0" xfId="1">
      <alignment horizontal="right"/>
    </xf>
    <xf numFmtId="194" fontId="112" fillId="0" borderId="0" applyAlignment="1" pivotButton="0" quotePrefix="0" xfId="1">
      <alignment horizontal="right"/>
    </xf>
    <xf numFmtId="194" fontId="112" fillId="0" borderId="0" pivotButton="0" quotePrefix="0" xfId="1"/>
    <xf numFmtId="0" fontId="8" fillId="0" borderId="81" pivotButton="0" quotePrefix="0" xfId="1"/>
    <xf numFmtId="172" fontId="8" fillId="0" borderId="81" pivotButton="0" quotePrefix="0" xfId="1"/>
    <xf numFmtId="0" fontId="12" fillId="0" borderId="10" pivotButton="0" quotePrefix="0" xfId="0"/>
    <xf numFmtId="166" fontId="14" fillId="0" borderId="10" pivotButton="0" quotePrefix="0" xfId="0"/>
    <xf numFmtId="166" fontId="8" fillId="0" borderId="10" pivotButton="0" quotePrefix="0" xfId="1"/>
    <xf numFmtId="166" fontId="14" fillId="0" borderId="33" pivotButton="0" quotePrefix="0" xfId="0"/>
    <xf numFmtId="182" fontId="14" fillId="0" borderId="10" pivotButton="0" quotePrefix="0" xfId="0"/>
    <xf numFmtId="176" fontId="8" fillId="0" borderId="10" applyAlignment="1" pivotButton="0" quotePrefix="0" xfId="1">
      <alignment horizontal="right"/>
    </xf>
    <xf numFmtId="176" fontId="8" fillId="0" borderId="10" pivotButton="0" quotePrefix="0" xfId="1"/>
    <xf numFmtId="0" fontId="88" fillId="0" borderId="0" applyAlignment="1" pivotButton="0" quotePrefix="0" xfId="1">
      <alignment wrapText="1"/>
    </xf>
    <xf numFmtId="0" fontId="88" fillId="0" borderId="0" pivotButton="0" quotePrefix="0" xfId="1"/>
    <xf numFmtId="0" fontId="87" fillId="0" borderId="0" applyAlignment="1" pivotButton="0" quotePrefix="0" xfId="1">
      <alignment wrapText="1"/>
    </xf>
    <xf numFmtId="0" fontId="113" fillId="0" borderId="0" pivotButton="0" quotePrefix="0" xfId="0"/>
    <xf numFmtId="189" fontId="14" fillId="0" borderId="10" applyAlignment="1" pivotButton="0" quotePrefix="0" xfId="0">
      <alignment horizontal="right"/>
    </xf>
    <xf numFmtId="189" fontId="14" fillId="0" borderId="0" applyAlignment="1" pivotButton="0" quotePrefix="0" xfId="0">
      <alignment horizontal="right"/>
    </xf>
    <xf numFmtId="189" fontId="14" fillId="0" borderId="10" pivotButton="0" quotePrefix="0" xfId="0"/>
    <xf numFmtId="189" fontId="14" fillId="0" borderId="0" pivotButton="0" quotePrefix="0" xfId="0"/>
    <xf numFmtId="0" fontId="102" fillId="0" borderId="0" applyAlignment="1" pivotButton="0" quotePrefix="0" xfId="407">
      <alignment horizontal="left" vertical="center"/>
    </xf>
    <xf numFmtId="0" fontId="103" fillId="0" borderId="0" applyAlignment="1" pivotButton="0" quotePrefix="0" xfId="407">
      <alignment horizontal="left" vertical="center"/>
    </xf>
    <xf numFmtId="0" fontId="100" fillId="0" borderId="0" applyAlignment="1" pivotButton="0" quotePrefix="0" xfId="407">
      <alignment horizontal="left" vertical="center"/>
    </xf>
    <xf numFmtId="186" fontId="91" fillId="51" borderId="57" applyAlignment="1" pivotButton="0" quotePrefix="0" xfId="407">
      <alignment horizontal="right" vertical="center"/>
    </xf>
    <xf numFmtId="181" fontId="91" fillId="51" borderId="57" applyAlignment="1" pivotButton="0" quotePrefix="0" xfId="408">
      <alignment horizontal="right" vertical="center"/>
    </xf>
    <xf numFmtId="181" fontId="91" fillId="51" borderId="58" applyAlignment="1" pivotButton="0" quotePrefix="0" xfId="408">
      <alignment horizontal="right" vertical="center"/>
    </xf>
    <xf numFmtId="181" fontId="91" fillId="51" borderId="57" applyAlignment="1" pivotButton="0" quotePrefix="0" xfId="408">
      <alignment vertical="center"/>
    </xf>
    <xf numFmtId="0" fontId="91" fillId="51" borderId="59" applyAlignment="1" pivotButton="0" quotePrefix="0" xfId="408">
      <alignment horizontal="left" vertical="center"/>
    </xf>
    <xf numFmtId="0" fontId="101" fillId="0" borderId="18" applyAlignment="1" pivotButton="0" quotePrefix="0" xfId="407">
      <alignment horizontal="right" vertical="center"/>
    </xf>
    <xf numFmtId="172" fontId="84" fillId="0" borderId="18" applyAlignment="1" pivotButton="0" quotePrefix="0" xfId="407">
      <alignment horizontal="right" vertical="center"/>
    </xf>
    <xf numFmtId="172" fontId="92" fillId="52" borderId="18" applyAlignment="1" pivotButton="0" quotePrefix="0" xfId="407">
      <alignment horizontal="right" vertical="center"/>
    </xf>
    <xf numFmtId="181" fontId="91" fillId="51" borderId="59" applyAlignment="1" pivotButton="0" quotePrefix="0" xfId="408">
      <alignment horizontal="right" vertical="center"/>
    </xf>
    <xf numFmtId="185" fontId="100" fillId="0" borderId="18" applyAlignment="1" pivotButton="0" quotePrefix="0" xfId="407">
      <alignment horizontal="right" vertical="center"/>
    </xf>
    <xf numFmtId="185" fontId="92" fillId="52" borderId="18" applyAlignment="1" pivotButton="0" quotePrefix="0" xfId="407">
      <alignment horizontal="right" vertical="center"/>
    </xf>
    <xf numFmtId="172" fontId="95" fillId="0" borderId="18" applyAlignment="1" pivotButton="0" quotePrefix="0" xfId="407">
      <alignment vertical="center"/>
    </xf>
    <xf numFmtId="0" fontId="84" fillId="0" borderId="49" applyAlignment="1" pivotButton="0" quotePrefix="0" xfId="407">
      <alignment vertical="center"/>
    </xf>
    <xf numFmtId="0" fontId="100" fillId="0" borderId="48" pivotButton="0" quotePrefix="0" xfId="407"/>
    <xf numFmtId="0" fontId="100" fillId="0" borderId="18" pivotButton="0" quotePrefix="0" xfId="407"/>
    <xf numFmtId="0" fontId="8" fillId="54" borderId="18" pivotButton="0" quotePrefix="0" xfId="1"/>
    <xf numFmtId="0" fontId="8" fillId="54" borderId="50" pivotButton="0" quotePrefix="0" xfId="1"/>
    <xf numFmtId="172" fontId="92" fillId="52" borderId="53" applyAlignment="1" pivotButton="0" quotePrefix="0" xfId="407">
      <alignment horizontal="right" vertical="center"/>
    </xf>
    <xf numFmtId="185" fontId="92" fillId="52" borderId="53" applyAlignment="1" pivotButton="0" quotePrefix="0" xfId="407">
      <alignment horizontal="right" vertical="center"/>
    </xf>
    <xf numFmtId="181" fontId="91" fillId="51" borderId="82" applyAlignment="1" pivotButton="0" quotePrefix="0" xfId="408">
      <alignment horizontal="right" vertical="center"/>
    </xf>
    <xf numFmtId="0" fontId="101" fillId="0" borderId="34" applyAlignment="1" pivotButton="0" quotePrefix="0" xfId="407">
      <alignment horizontal="right" vertical="center"/>
    </xf>
    <xf numFmtId="185" fontId="100" fillId="0" borderId="34" applyAlignment="1" pivotButton="0" quotePrefix="0" xfId="407">
      <alignment horizontal="right" vertical="center"/>
    </xf>
    <xf numFmtId="185" fontId="92" fillId="52" borderId="34" applyAlignment="1" pivotButton="0" quotePrefix="0" xfId="407">
      <alignment horizontal="right" vertical="center"/>
    </xf>
    <xf numFmtId="172" fontId="84" fillId="0" borderId="50" applyAlignment="1" pivotButton="0" quotePrefix="0" xfId="407">
      <alignment horizontal="right" vertical="center"/>
    </xf>
    <xf numFmtId="191" fontId="84" fillId="0" borderId="50" applyAlignment="1" pivotButton="0" quotePrefix="0" xfId="407">
      <alignment vertical="center"/>
    </xf>
    <xf numFmtId="191" fontId="84" fillId="0" borderId="51" applyAlignment="1" pivotButton="0" quotePrefix="0" xfId="407">
      <alignment vertical="center"/>
    </xf>
    <xf numFmtId="0" fontId="8" fillId="54" borderId="34" pivotButton="0" quotePrefix="0" xfId="1"/>
    <xf numFmtId="191" fontId="84" fillId="0" borderId="0" applyAlignment="1" pivotButton="0" quotePrefix="0" xfId="407">
      <alignment vertical="center"/>
    </xf>
    <xf numFmtId="191" fontId="84" fillId="0" borderId="48" applyAlignment="1" pivotButton="0" quotePrefix="0" xfId="407">
      <alignment vertical="center"/>
    </xf>
    <xf numFmtId="189" fontId="84" fillId="0" borderId="0" applyAlignment="1" pivotButton="0" quotePrefix="0" xfId="1">
      <alignment vertical="center"/>
    </xf>
    <xf numFmtId="189" fontId="84" fillId="0" borderId="48" applyAlignment="1" pivotButton="0" quotePrefix="0" xfId="1">
      <alignment vertical="center"/>
    </xf>
    <xf numFmtId="191" fontId="84" fillId="0" borderId="0" applyAlignment="1" pivotButton="0" quotePrefix="0" xfId="1">
      <alignment vertical="center"/>
    </xf>
    <xf numFmtId="189" fontId="84" fillId="0" borderId="48" applyAlignment="1" pivotButton="0" quotePrefix="0" xfId="1">
      <alignment horizontal="right" vertical="center"/>
    </xf>
    <xf numFmtId="189" fontId="84" fillId="0" borderId="0" applyAlignment="1" pivotButton="0" quotePrefix="0" xfId="1">
      <alignment horizontal="right" vertical="center"/>
    </xf>
    <xf numFmtId="195" fontId="84" fillId="0" borderId="48" applyAlignment="1" pivotButton="0" quotePrefix="0" xfId="1">
      <alignment horizontal="right" vertical="center"/>
    </xf>
    <xf numFmtId="189" fontId="92" fillId="52" borderId="0" applyAlignment="1" pivotButton="0" quotePrefix="0" xfId="1">
      <alignment vertical="center"/>
    </xf>
    <xf numFmtId="0" fontId="100" fillId="0" borderId="49" applyAlignment="1" pivotButton="0" quotePrefix="0" xfId="407">
      <alignment horizontal="left" vertical="center"/>
    </xf>
    <xf numFmtId="0" fontId="84" fillId="0" borderId="50" applyAlignment="1" pivotButton="0" quotePrefix="0" xfId="1">
      <alignment vertical="center"/>
    </xf>
    <xf numFmtId="189" fontId="84" fillId="0" borderId="50" applyAlignment="1" pivotButton="0" quotePrefix="0" xfId="1">
      <alignment vertical="center"/>
    </xf>
    <xf numFmtId="189" fontId="84" fillId="0" borderId="51" applyAlignment="1" pivotButton="0" quotePrefix="0" xfId="1">
      <alignment vertical="center"/>
    </xf>
    <xf numFmtId="186" fontId="84" fillId="0" borderId="50" applyAlignment="1" pivotButton="0" quotePrefix="0" xfId="407">
      <alignment horizontal="right" vertical="center"/>
    </xf>
    <xf numFmtId="0" fontId="100" fillId="0" borderId="50" applyAlignment="1" pivotButton="0" quotePrefix="0" xfId="407">
      <alignment horizontal="left" vertical="center"/>
    </xf>
    <xf numFmtId="187" fontId="84" fillId="0" borderId="51" applyAlignment="1" pivotButton="0" quotePrefix="0" xfId="407">
      <alignment vertical="center"/>
    </xf>
    <xf numFmtId="0" fontId="102" fillId="52" borderId="49" applyAlignment="1" pivotButton="0" quotePrefix="0" xfId="407">
      <alignment horizontal="left" vertical="center"/>
    </xf>
    <xf numFmtId="0" fontId="92" fillId="52" borderId="50" applyAlignment="1" pivotButton="0" quotePrefix="0" xfId="1">
      <alignment vertical="center"/>
    </xf>
    <xf numFmtId="189" fontId="92" fillId="52" borderId="50" applyAlignment="1" pivotButton="0" quotePrefix="0" xfId="1">
      <alignment vertical="center"/>
    </xf>
    <xf numFmtId="189" fontId="92" fillId="52" borderId="51" applyAlignment="1" pivotButton="0" quotePrefix="0" xfId="1">
      <alignment vertical="center"/>
    </xf>
    <xf numFmtId="196" fontId="100" fillId="0" borderId="47" applyAlignment="1" pivotButton="0" quotePrefix="0" xfId="407">
      <alignment vertical="center"/>
    </xf>
    <xf numFmtId="189" fontId="84" fillId="55" borderId="0" applyAlignment="1" pivotButton="0" quotePrefix="0" xfId="1">
      <alignment horizontal="right" vertical="center"/>
    </xf>
    <xf numFmtId="189" fontId="84" fillId="55" borderId="48" applyAlignment="1" pivotButton="0" quotePrefix="0" xfId="1">
      <alignment horizontal="right" vertical="center"/>
    </xf>
    <xf numFmtId="9" fontId="102" fillId="0" borderId="83" applyAlignment="1" pivotButton="0" quotePrefix="0" xfId="406">
      <alignment horizontal="left" vertical="center"/>
    </xf>
    <xf numFmtId="9" fontId="92" fillId="0" borderId="10" applyAlignment="1" pivotButton="0" quotePrefix="0" xfId="406">
      <alignment vertical="center"/>
    </xf>
    <xf numFmtId="172" fontId="92" fillId="0" borderId="10" applyAlignment="1" pivotButton="0" quotePrefix="0" xfId="406">
      <alignment horizontal="right" vertical="center"/>
    </xf>
    <xf numFmtId="172" fontId="115" fillId="0" borderId="17" pivotButton="0" quotePrefix="0" xfId="0"/>
    <xf numFmtId="0" fontId="103" fillId="0" borderId="47" pivotButton="0" quotePrefix="0" xfId="407"/>
    <xf numFmtId="174" fontId="103" fillId="0" borderId="0" pivotButton="0" quotePrefix="0" xfId="407"/>
    <xf numFmtId="0" fontId="103" fillId="0" borderId="0" pivotButton="0" quotePrefix="0" xfId="407"/>
    <xf numFmtId="186" fontId="94" fillId="0" borderId="0" applyAlignment="1" pivotButton="0" quotePrefix="0" xfId="407">
      <alignment horizontal="right" vertical="center"/>
    </xf>
    <xf numFmtId="186" fontId="92" fillId="52" borderId="50" applyAlignment="1" pivotButton="0" quotePrefix="0" xfId="407">
      <alignment vertical="center"/>
    </xf>
    <xf numFmtId="186" fontId="92" fillId="0" borderId="0" applyAlignment="1" pivotButton="0" quotePrefix="0" xfId="407">
      <alignment horizontal="right" vertical="center"/>
    </xf>
    <xf numFmtId="0" fontId="102" fillId="0" borderId="83" pivotButton="0" quotePrefix="0" xfId="407"/>
    <xf numFmtId="172" fontId="102" fillId="0" borderId="10" pivotButton="0" quotePrefix="0" xfId="407"/>
    <xf numFmtId="186" fontId="92" fillId="0" borderId="84" applyAlignment="1" pivotButton="0" quotePrefix="0" xfId="407">
      <alignment horizontal="right" vertical="center"/>
    </xf>
    <xf numFmtId="0" fontId="102" fillId="0" borderId="0" pivotButton="0" quotePrefix="0" xfId="407"/>
    <xf numFmtId="0" fontId="102" fillId="0" borderId="47" pivotButton="0" quotePrefix="0" xfId="407"/>
    <xf numFmtId="187" fontId="102" fillId="0" borderId="48" applyAlignment="1" pivotButton="0" quotePrefix="0" xfId="407">
      <alignment vertical="center"/>
    </xf>
    <xf numFmtId="187" fontId="92" fillId="0" borderId="84" applyAlignment="1" pivotButton="0" quotePrefix="0" xfId="407">
      <alignment vertical="center"/>
    </xf>
    <xf numFmtId="0" fontId="9" fillId="0" borderId="0" applyAlignment="1" pivotButton="0" quotePrefix="0" xfId="1">
      <alignment horizontal="left" indent="1"/>
    </xf>
    <xf numFmtId="167" fontId="15" fillId="0" borderId="0" pivotButton="0" quotePrefix="0" xfId="1"/>
    <xf numFmtId="197" fontId="114" fillId="0" borderId="0" applyAlignment="1" pivotButton="0" quotePrefix="0" xfId="1">
      <alignment vertical="center"/>
    </xf>
    <xf numFmtId="197" fontId="116" fillId="0" borderId="10" applyAlignment="1" pivotButton="0" quotePrefix="0" xfId="1">
      <alignment vertical="center"/>
    </xf>
    <xf numFmtId="197" fontId="114" fillId="0" borderId="10" applyAlignment="1" pivotButton="0" quotePrefix="0" xfId="1">
      <alignment vertical="center"/>
    </xf>
    <xf numFmtId="0" fontId="8" fillId="0" borderId="10" applyAlignment="1" pivotButton="0" quotePrefix="0" xfId="1">
      <alignment horizontal="left"/>
    </xf>
    <xf numFmtId="166" fontId="75" fillId="0" borderId="0" applyAlignment="1" pivotButton="0" quotePrefix="0" xfId="4">
      <alignment horizontal="left"/>
    </xf>
    <xf numFmtId="181" fontId="9" fillId="0" borderId="0" pivotButton="0" quotePrefix="0" xfId="1"/>
    <xf numFmtId="167" fontId="9" fillId="0" borderId="0" pivotButton="0" quotePrefix="0" xfId="2"/>
    <xf numFmtId="3" fontId="9" fillId="0" borderId="0" pivotButton="0" quotePrefix="0" xfId="1"/>
    <xf numFmtId="165" fontId="13" fillId="12" borderId="54" pivotButton="0" quotePrefix="0" xfId="1"/>
    <xf numFmtId="0" fontId="14" fillId="0" borderId="10" pivotButton="0" quotePrefix="0" xfId="1"/>
    <xf numFmtId="166" fontId="13" fillId="12" borderId="69" pivotButton="0" quotePrefix="0" xfId="1"/>
    <xf numFmtId="190" fontId="13" fillId="0" borderId="0" pivotButton="0" quotePrefix="0" xfId="1"/>
    <xf numFmtId="165" fontId="14" fillId="0" borderId="0" pivotButton="0" quotePrefix="0" xfId="1"/>
    <xf numFmtId="172" fontId="8" fillId="0" borderId="64" applyAlignment="1" pivotButton="0" quotePrefix="0" xfId="1">
      <alignment horizontal="right"/>
    </xf>
    <xf numFmtId="0" fontId="8" fillId="0" borderId="70" pivotButton="0" quotePrefix="0" xfId="1"/>
    <xf numFmtId="0" fontId="8" fillId="0" borderId="85" pivotButton="0" quotePrefix="0" xfId="1"/>
    <xf numFmtId="172" fontId="8" fillId="0" borderId="35" applyAlignment="1" pivotButton="0" quotePrefix="0" xfId="1">
      <alignment horizontal="right"/>
    </xf>
    <xf numFmtId="0" fontId="117" fillId="11" borderId="0" pivotButton="0" quotePrefix="0" xfId="1"/>
    <xf numFmtId="0" fontId="118" fillId="11" borderId="0" pivotButton="0" quotePrefix="0" xfId="1"/>
    <xf numFmtId="190" fontId="119" fillId="0" borderId="0" pivotButton="0" quotePrefix="0" xfId="1"/>
    <xf numFmtId="0" fontId="120" fillId="0" borderId="0" pivotButton="0" quotePrefix="0" xfId="1"/>
    <xf numFmtId="0" fontId="9" fillId="0" borderId="65" pivotButton="0" quotePrefix="0" xfId="1"/>
    <xf numFmtId="172" fontId="13" fillId="0" borderId="0" pivotButton="0" quotePrefix="0" xfId="1"/>
    <xf numFmtId="165" fontId="13" fillId="12" borderId="35" pivotButton="0" quotePrefix="0" xfId="1"/>
    <xf numFmtId="2" fontId="15" fillId="0" borderId="87" pivotButton="0" quotePrefix="0" xfId="1"/>
    <xf numFmtId="168" fontId="8" fillId="0" borderId="87" pivotButton="0" quotePrefix="0" xfId="1"/>
    <xf numFmtId="164" fontId="12" fillId="10" borderId="87" pivotButton="0" quotePrefix="0" xfId="1"/>
    <xf numFmtId="0" fontId="8" fillId="0" borderId="87" pivotButton="0" quotePrefix="0" xfId="1"/>
    <xf numFmtId="169" fontId="8" fillId="0" borderId="87" pivotButton="0" quotePrefix="0" xfId="1"/>
    <xf numFmtId="172" fontId="9" fillId="14" borderId="87" pivotButton="0" quotePrefix="0" xfId="1"/>
    <xf numFmtId="166" fontId="15" fillId="0" borderId="87" pivotButton="0" quotePrefix="0" xfId="3"/>
    <xf numFmtId="9" fontId="15" fillId="0" borderId="87" pivotButton="0" quotePrefix="0" xfId="1"/>
    <xf numFmtId="166" fontId="15" fillId="0" borderId="87" applyAlignment="1" pivotButton="0" quotePrefix="0" xfId="3">
      <alignment horizontal="right"/>
    </xf>
    <xf numFmtId="172" fontId="8" fillId="0" borderId="87" pivotButton="0" quotePrefix="0" xfId="1"/>
    <xf numFmtId="0" fontId="11" fillId="11" borderId="87" pivotButton="0" quotePrefix="0" xfId="1"/>
    <xf numFmtId="9" fontId="8" fillId="0" borderId="87" pivotButton="0" quotePrefix="0" xfId="1"/>
    <xf numFmtId="0" fontId="8" fillId="54" borderId="87" pivotButton="0" quotePrefix="0" xfId="1"/>
    <xf numFmtId="172" fontId="9" fillId="0" borderId="87" pivotButton="0" quotePrefix="0" xfId="1"/>
    <xf numFmtId="172" fontId="12" fillId="14" borderId="87" pivotButton="0" quotePrefix="0" xfId="1"/>
    <xf numFmtId="172" fontId="12" fillId="0" borderId="87" pivotButton="0" quotePrefix="0" xfId="1"/>
    <xf numFmtId="172" fontId="14" fillId="0" borderId="87" pivotButton="0" quotePrefix="0" xfId="1"/>
    <xf numFmtId="172" fontId="14" fillId="0" borderId="88" pivotButton="0" quotePrefix="0" xfId="1"/>
    <xf numFmtId="172" fontId="15" fillId="0" borderId="87" pivotButton="0" quotePrefix="0" xfId="1"/>
    <xf numFmtId="0" fontId="9" fillId="0" borderId="90" pivotButton="0" quotePrefix="0" xfId="1"/>
    <xf numFmtId="172" fontId="8" fillId="0" borderId="88" pivotButton="0" quotePrefix="0" xfId="1"/>
    <xf numFmtId="172" fontId="9" fillId="14" borderId="90" pivotButton="0" quotePrefix="0" xfId="1"/>
    <xf numFmtId="172" fontId="9" fillId="14" borderId="88" pivotButton="0" quotePrefix="0" xfId="1"/>
    <xf numFmtId="0" fontId="8" fillId="0" borderId="88" pivotButton="0" quotePrefix="0" xfId="1"/>
    <xf numFmtId="166" fontId="13" fillId="12" borderId="91" pivotButton="0" quotePrefix="0" xfId="1"/>
    <xf numFmtId="169" fontId="8" fillId="0" borderId="88" pivotButton="0" quotePrefix="0" xfId="1"/>
    <xf numFmtId="172" fontId="14" fillId="12" borderId="87" pivotButton="0" quotePrefix="0" xfId="1"/>
    <xf numFmtId="0" fontId="12" fillId="0" borderId="87" pivotButton="0" quotePrefix="0" xfId="1"/>
    <xf numFmtId="165" fontId="8" fillId="0" borderId="88" pivotButton="0" quotePrefix="0" xfId="1"/>
    <xf numFmtId="167" fontId="14" fillId="0" borderId="87" pivotButton="0" quotePrefix="0" xfId="1"/>
    <xf numFmtId="172" fontId="8" fillId="0" borderId="89" pivotButton="0" quotePrefix="0" xfId="1"/>
    <xf numFmtId="167" fontId="12" fillId="46" borderId="92" pivotButton="0" quotePrefix="0" xfId="1"/>
    <xf numFmtId="169" fontId="9" fillId="46" borderId="87" pivotButton="0" quotePrefix="0" xfId="1"/>
    <xf numFmtId="182" fontId="9" fillId="46" borderId="86" applyAlignment="1" pivotButton="0" quotePrefix="0" xfId="1">
      <alignment horizontal="right"/>
    </xf>
    <xf numFmtId="0" fontId="9" fillId="0" borderId="66" applyAlignment="1" pivotButton="0" quotePrefix="0" xfId="1">
      <alignment horizontal="left"/>
    </xf>
    <xf numFmtId="0" fontId="8" fillId="54" borderId="21" pivotButton="0" quotePrefix="0" xfId="1"/>
    <xf numFmtId="172" fontId="14" fillId="0" borderId="93" pivotButton="0" quotePrefix="0" xfId="1"/>
    <xf numFmtId="172" fontId="14" fillId="0" borderId="20" pivotButton="0" quotePrefix="0" xfId="1"/>
    <xf numFmtId="0" fontId="12" fillId="0" borderId="10" pivotButton="0" quotePrefix="0" xfId="1"/>
    <xf numFmtId="169" fontId="8" fillId="0" borderId="10" pivotButton="0" quotePrefix="0" xfId="1"/>
    <xf numFmtId="172" fontId="9" fillId="0" borderId="89" pivotButton="0" quotePrefix="0" xfId="1"/>
    <xf numFmtId="172" fontId="9" fillId="0" borderId="10" pivotButton="0" quotePrefix="0" xfId="1"/>
    <xf numFmtId="198" fontId="12" fillId="46" borderId="37" pivotButton="0" quotePrefix="0" xfId="1"/>
    <xf numFmtId="198" fontId="12" fillId="46" borderId="38" pivotButton="0" quotePrefix="0" xfId="1"/>
    <xf numFmtId="0" fontId="106" fillId="0" borderId="0" pivotButton="0" quotePrefix="0" xfId="1"/>
    <xf numFmtId="164" fontId="15" fillId="0" borderId="0" pivotButton="0" quotePrefix="0" xfId="1"/>
    <xf numFmtId="166" fontId="15" fillId="0" borderId="0" pivotButton="0" quotePrefix="0" xfId="1"/>
    <xf numFmtId="0" fontId="16" fillId="0" borderId="0" pivotButton="0" quotePrefix="0" xfId="0"/>
    <xf numFmtId="173" fontId="16" fillId="0" borderId="0" applyAlignment="1" pivotButton="0" quotePrefix="0" xfId="0">
      <alignment horizontal="right"/>
    </xf>
    <xf numFmtId="177" fontId="121" fillId="0" borderId="0" applyAlignment="1" pivotButton="0" quotePrefix="0" xfId="1">
      <alignment horizontal="right"/>
    </xf>
    <xf numFmtId="190" fontId="111" fillId="0" borderId="0" pivotButton="0" quotePrefix="0" xfId="1"/>
    <xf numFmtId="181" fontId="9" fillId="14" borderId="7" pivotButton="0" quotePrefix="0" xfId="1"/>
    <xf numFmtId="181" fontId="9" fillId="14" borderId="8" pivotButton="0" quotePrefix="0" xfId="1"/>
    <xf numFmtId="189" fontId="8" fillId="0" borderId="70" pivotButton="0" quotePrefix="0" xfId="1"/>
    <xf numFmtId="0" fontId="88" fillId="0" borderId="60" pivotButton="0" quotePrefix="0" xfId="1"/>
    <xf numFmtId="0" fontId="87" fillId="0" borderId="0" applyAlignment="1" pivotButton="0" quotePrefix="0" xfId="1">
      <alignment horizontal="left"/>
    </xf>
    <xf numFmtId="188" fontId="9" fillId="0" borderId="94" applyAlignment="1" pivotButton="0" quotePrefix="0" xfId="1">
      <alignment horizontal="center"/>
    </xf>
    <xf numFmtId="191" fontId="9" fillId="14" borderId="15" pivotButton="0" quotePrefix="0" xfId="1"/>
    <xf numFmtId="191" fontId="9" fillId="14" borderId="16" pivotButton="0" quotePrefix="0" xfId="1"/>
    <xf numFmtId="191" fontId="14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199" fontId="82" fillId="0" borderId="0" applyAlignment="1" pivotButton="0" quotePrefix="0" xfId="0">
      <alignment horizontal="right"/>
    </xf>
    <xf numFmtId="200" fontId="14" fillId="0" borderId="0" pivotButton="0" quotePrefix="0" xfId="4"/>
    <xf numFmtId="200" fontId="14" fillId="0" borderId="15" pivotButton="0" quotePrefix="0" xfId="4"/>
    <xf numFmtId="0" fontId="8" fillId="54" borderId="33" pivotButton="0" quotePrefix="0" xfId="1"/>
    <xf numFmtId="0" fontId="8" fillId="54" borderId="22" pivotButton="0" quotePrefix="0" xfId="1"/>
    <xf numFmtId="172" fontId="8" fillId="0" borderId="18" pivotButton="0" quotePrefix="0" xfId="1"/>
    <xf numFmtId="172" fontId="8" fillId="0" borderId="95" pivotButton="0" quotePrefix="0" xfId="1"/>
    <xf numFmtId="167" fontId="12" fillId="46" borderId="96" pivotButton="0" quotePrefix="0" xfId="1"/>
    <xf numFmtId="169" fontId="9" fillId="46" borderId="18" pivotButton="0" quotePrefix="0" xfId="1"/>
    <xf numFmtId="182" fontId="9" fillId="46" borderId="97" applyAlignment="1" pivotButton="0" quotePrefix="0" xfId="1">
      <alignment horizontal="right"/>
    </xf>
    <xf numFmtId="0" fontId="8" fillId="0" borderId="18" pivotButton="0" quotePrefix="0" xfId="1"/>
    <xf numFmtId="169" fontId="8" fillId="0" borderId="98" pivotButton="0" quotePrefix="0" xfId="1"/>
    <xf numFmtId="172" fontId="8" fillId="0" borderId="99" pivotButton="0" quotePrefix="0" xfId="1"/>
    <xf numFmtId="198" fontId="12" fillId="46" borderId="96" pivotButton="0" quotePrefix="0" xfId="1"/>
    <xf numFmtId="182" fontId="8" fillId="0" borderId="18" applyAlignment="1" pivotButton="0" quotePrefix="0" xfId="1">
      <alignment horizontal="right"/>
    </xf>
    <xf numFmtId="167" fontId="122" fillId="12" borderId="20" pivotButton="0" quotePrefix="0" xfId="1"/>
    <xf numFmtId="200" fontId="84" fillId="0" borderId="0" applyAlignment="1" pivotButton="0" quotePrefix="0" xfId="407">
      <alignment vertical="center"/>
    </xf>
    <xf numFmtId="200" fontId="84" fillId="0" borderId="0" applyAlignment="1" pivotButton="0" quotePrefix="0" xfId="407">
      <alignment horizontal="right" vertical="center"/>
    </xf>
    <xf numFmtId="200" fontId="84" fillId="0" borderId="48" applyAlignment="1" pivotButton="0" quotePrefix="0" xfId="407">
      <alignment vertical="center"/>
    </xf>
    <xf numFmtId="200" fontId="8" fillId="54" borderId="0" pivotButton="0" quotePrefix="0" xfId="1"/>
    <xf numFmtId="200" fontId="8" fillId="54" borderId="50" pivotButton="0" quotePrefix="0" xfId="1"/>
    <xf numFmtId="200" fontId="84" fillId="0" borderId="50" applyAlignment="1" pivotButton="0" quotePrefix="0" xfId="407">
      <alignment horizontal="right" vertical="center"/>
    </xf>
    <xf numFmtId="200" fontId="84" fillId="0" borderId="51" applyAlignment="1" pivotButton="0" quotePrefix="0" xfId="407">
      <alignment horizontal="right" vertical="center"/>
    </xf>
    <xf numFmtId="0" fontId="8" fillId="56" borderId="0" pivotButton="0" quotePrefix="0" xfId="1"/>
    <xf numFmtId="9" fontId="13" fillId="12" borderId="20" pivotButton="0" quotePrefix="0" xfId="1"/>
    <xf numFmtId="201" fontId="75" fillId="0" borderId="0" pivotButton="0" quotePrefix="0" xfId="1"/>
    <xf numFmtId="9" fontId="8" fillId="0" borderId="71" applyAlignment="1" pivotButton="0" quotePrefix="0" xfId="1">
      <alignment horizontal="right"/>
    </xf>
    <xf numFmtId="9" fontId="8" fillId="0" borderId="10" applyAlignment="1" pivotButton="0" quotePrefix="0" xfId="1">
      <alignment horizontal="right"/>
    </xf>
    <xf numFmtId="9" fontId="8" fillId="54" borderId="12" pivotButton="0" quotePrefix="0" xfId="1"/>
    <xf numFmtId="9" fontId="8" fillId="0" borderId="20" applyAlignment="1" pivotButton="0" quotePrefix="0" xfId="1">
      <alignment horizontal="right"/>
    </xf>
    <xf numFmtId="9" fontId="8" fillId="0" borderId="0" applyAlignment="1" pivotButton="0" quotePrefix="0" xfId="1">
      <alignment horizontal="right"/>
    </xf>
    <xf numFmtId="9" fontId="8" fillId="54" borderId="0" pivotButton="0" quotePrefix="0" xfId="1"/>
    <xf numFmtId="202" fontId="15" fillId="0" borderId="0" pivotButton="0" quotePrefix="0" xfId="1"/>
    <xf numFmtId="203" fontId="9" fillId="0" borderId="0" pivotButton="0" quotePrefix="0" xfId="1"/>
    <xf numFmtId="9" fontId="9" fillId="0" borderId="0" pivotButton="0" quotePrefix="0" xfId="1"/>
    <xf numFmtId="203" fontId="118" fillId="11" borderId="0" pivotButton="0" quotePrefix="0" xfId="1"/>
    <xf numFmtId="10" fontId="8" fillId="0" borderId="0" pivotButton="0" quotePrefix="0" xfId="1"/>
    <xf numFmtId="0" fontId="9" fillId="14" borderId="9" pivotButton="0" quotePrefix="0" xfId="1"/>
    <xf numFmtId="0" fontId="9" fillId="14" borderId="10" pivotButton="0" quotePrefix="0" xfId="1"/>
    <xf numFmtId="200" fontId="9" fillId="14" borderId="0" pivotButton="0" quotePrefix="0" xfId="1"/>
    <xf numFmtId="200" fontId="9" fillId="14" borderId="13" pivotButton="0" quotePrefix="0" xfId="1"/>
    <xf numFmtId="204" fontId="9" fillId="14" borderId="10" pivotButton="0" quotePrefix="0" xfId="1"/>
    <xf numFmtId="204" fontId="9" fillId="14" borderId="11" pivotButton="0" quotePrefix="0" xfId="1"/>
    <xf numFmtId="167" fontId="9" fillId="0" borderId="0" applyAlignment="1" pivotButton="0" quotePrefix="0" xfId="1">
      <alignment horizontal="left" indent="1"/>
    </xf>
    <xf numFmtId="166" fontId="12" fillId="0" borderId="0" pivotButton="0" quotePrefix="0" xfId="1"/>
    <xf numFmtId="0" fontId="8" fillId="0" borderId="50" pivotButton="0" quotePrefix="0" xfId="1"/>
    <xf numFmtId="0" fontId="8" fillId="0" borderId="53" pivotButton="0" quotePrefix="0" xfId="1"/>
    <xf numFmtId="188" fontId="10" fillId="0" borderId="67" applyAlignment="1" pivotButton="0" quotePrefix="0" xfId="1">
      <alignment horizontal="left"/>
    </xf>
    <xf numFmtId="188" fontId="10" fillId="0" borderId="66" pivotButton="0" quotePrefix="0" xfId="1"/>
    <xf numFmtId="9" fontId="92" fillId="0" borderId="0" pivotButton="0" quotePrefix="0" xfId="406"/>
    <xf numFmtId="0" fontId="10" fillId="0" borderId="65" pivotButton="0" quotePrefix="0" xfId="1"/>
    <xf numFmtId="0" fontId="10" fillId="0" borderId="66" applyAlignment="1" pivotButton="0" quotePrefix="0" xfId="1">
      <alignment horizontal="left"/>
    </xf>
    <xf numFmtId="0" fontId="123" fillId="0" borderId="55" pivotButton="0" quotePrefix="0" xfId="1"/>
    <xf numFmtId="0" fontId="9" fillId="0" borderId="67" pivotButton="0" quotePrefix="0" xfId="1"/>
    <xf numFmtId="0" fontId="92" fillId="0" borderId="68" pivotButton="0" quotePrefix="0" xfId="1"/>
    <xf numFmtId="0" fontId="92" fillId="0" borderId="55" pivotButton="0" quotePrefix="0" xfId="1"/>
    <xf numFmtId="0" fontId="10" fillId="0" borderId="67" pivotButton="0" quotePrefix="0" xfId="1"/>
    <xf numFmtId="0" fontId="92" fillId="0" borderId="66" pivotButton="0" quotePrefix="0" xfId="1"/>
    <xf numFmtId="0" fontId="102" fillId="0" borderId="67" pivotButton="0" quotePrefix="0" xfId="407"/>
    <xf numFmtId="0" fontId="6" fillId="0" borderId="0" pivotButton="0" quotePrefix="0" xfId="0"/>
    <xf numFmtId="0" fontId="8" fillId="57" borderId="0" pivotButton="0" quotePrefix="0" xfId="1"/>
    <xf numFmtId="189" fontId="13" fillId="0" borderId="0" pivotButton="0" quotePrefix="0" xfId="1"/>
    <xf numFmtId="166" fontId="13" fillId="0" borderId="0" pivotButton="0" quotePrefix="0" xfId="1"/>
    <xf numFmtId="191" fontId="13" fillId="0" borderId="54" applyAlignment="1" pivotButton="0" quotePrefix="0" xfId="1">
      <alignment horizontal="right"/>
    </xf>
    <xf numFmtId="190" fontId="13" fillId="0" borderId="54" applyAlignment="1" pivotButton="0" quotePrefix="0" xfId="1">
      <alignment horizontal="right"/>
    </xf>
    <xf numFmtId="191" fontId="13" fillId="0" borderId="73" applyAlignment="1" pivotButton="0" quotePrefix="0" xfId="1">
      <alignment horizontal="right"/>
    </xf>
    <xf numFmtId="190" fontId="8" fillId="0" borderId="76" applyAlignment="1" pivotButton="0" quotePrefix="0" xfId="1">
      <alignment horizontal="right"/>
    </xf>
    <xf numFmtId="177" fontId="8" fillId="0" borderId="20" pivotButton="0" quotePrefix="0" xfId="1"/>
    <xf numFmtId="193" fontId="121" fillId="0" borderId="0" pivotButton="0" quotePrefix="0" xfId="1"/>
    <xf numFmtId="198" fontId="12" fillId="46" borderId="96" applyAlignment="1" pivotButton="0" quotePrefix="0" xfId="1">
      <alignment horizontal="right"/>
    </xf>
    <xf numFmtId="198" fontId="12" fillId="46" borderId="37" applyAlignment="1" pivotButton="0" quotePrefix="0" xfId="1">
      <alignment horizontal="right"/>
    </xf>
    <xf numFmtId="198" fontId="12" fillId="46" borderId="38" applyAlignment="1" pivotButton="0" quotePrefix="0" xfId="1">
      <alignment horizontal="right"/>
    </xf>
    <xf numFmtId="0" fontId="8" fillId="0" borderId="17" applyAlignment="1" pivotButton="0" quotePrefix="0" xfId="1">
      <alignment horizontal="center"/>
    </xf>
    <xf numFmtId="190" fontId="8" fillId="58" borderId="52" pivotButton="0" quotePrefix="0" xfId="1"/>
    <xf numFmtId="190" fontId="8" fillId="58" borderId="0" pivotButton="0" quotePrefix="0" xfId="1"/>
    <xf numFmtId="205" fontId="8" fillId="0" borderId="0" pivotButton="0" quotePrefix="0" xfId="1"/>
    <xf numFmtId="164" fontId="12" fillId="59" borderId="0" pivotButton="0" quotePrefix="0" xfId="1"/>
    <xf numFmtId="165" fontId="9" fillId="0" borderId="0" pivotButton="0" quotePrefix="0" xfId="1"/>
    <xf numFmtId="0" fontId="66" fillId="0" borderId="0" pivotButton="0" quotePrefix="0" xfId="0"/>
    <xf numFmtId="17" fontId="129" fillId="0" borderId="100" applyAlignment="1" applyProtection="1" pivotButton="0" quotePrefix="1" xfId="413">
      <alignment horizontal="right"/>
      <protection locked="0" hidden="0"/>
    </xf>
    <xf numFmtId="0" fontId="130" fillId="0" borderId="0" applyProtection="1" pivotButton="0" quotePrefix="0" xfId="415">
      <protection locked="0" hidden="0"/>
    </xf>
    <xf numFmtId="14" fontId="131" fillId="0" borderId="0" applyProtection="1" pivotButton="0" quotePrefix="0" xfId="415">
      <protection locked="0" hidden="0"/>
    </xf>
    <xf numFmtId="14" fontId="130" fillId="0" borderId="0" applyProtection="1" pivotButton="0" quotePrefix="0" xfId="415">
      <protection locked="0" hidden="0"/>
    </xf>
    <xf numFmtId="14" fontId="7" fillId="0" borderId="0" pivotButton="0" quotePrefix="0" xfId="0"/>
    <xf numFmtId="14" fontId="74" fillId="0" borderId="0" pivotButton="0" quotePrefix="0" xfId="0"/>
    <xf numFmtId="17" fontId="92" fillId="14" borderId="101" applyAlignment="1" applyProtection="1" pivotButton="0" quotePrefix="1" xfId="416">
      <alignment horizontal="center" vertical="center" wrapText="1"/>
      <protection locked="0" hidden="0"/>
    </xf>
    <xf numFmtId="206" fontId="92" fillId="14" borderId="101" applyAlignment="1" applyProtection="1" pivotButton="0" quotePrefix="0" xfId="416">
      <alignment horizontal="right" vertical="center" wrapText="1"/>
      <protection locked="0" hidden="0"/>
    </xf>
    <xf numFmtId="17" fontId="92" fillId="14" borderId="101" applyAlignment="1" applyProtection="1" pivotButton="0" quotePrefix="1" xfId="416">
      <alignment horizontal="right" vertical="center" wrapText="1"/>
      <protection locked="0" hidden="0"/>
    </xf>
    <xf numFmtId="1" fontId="92" fillId="0" borderId="102" applyAlignment="1" applyProtection="1" pivotButton="0" quotePrefix="0" xfId="416">
      <alignment horizontal="left" vertical="center"/>
      <protection locked="0" hidden="0"/>
    </xf>
    <xf numFmtId="3" fontId="130" fillId="0" borderId="0" applyProtection="1" pivotButton="0" quotePrefix="0" xfId="415">
      <protection locked="0" hidden="0"/>
    </xf>
    <xf numFmtId="0" fontId="66" fillId="0" borderId="0" pivotButton="0" quotePrefix="1" xfId="0"/>
    <xf numFmtId="1" fontId="84" fillId="0" borderId="103" applyAlignment="1" applyProtection="1" pivotButton="0" quotePrefix="0" xfId="416">
      <alignment horizontal="left" vertical="center"/>
      <protection locked="0" hidden="0"/>
    </xf>
    <xf numFmtId="206" fontId="84" fillId="0" borderId="101" applyAlignment="1" applyProtection="1" pivotButton="0" quotePrefix="0" xfId="416">
      <alignment vertical="center" wrapText="1"/>
      <protection locked="0" hidden="0"/>
    </xf>
    <xf numFmtId="206" fontId="92" fillId="14" borderId="101" applyAlignment="1" pivotButton="0" quotePrefix="0" xfId="416">
      <alignment vertical="center" wrapText="1"/>
    </xf>
    <xf numFmtId="206" fontId="0" fillId="0" borderId="0" pivotButton="0" quotePrefix="0" xfId="0"/>
    <xf numFmtId="1" fontId="84" fillId="0" borderId="104" applyAlignment="1" applyProtection="1" pivotButton="0" quotePrefix="0" xfId="416">
      <alignment horizontal="left" vertical="center"/>
      <protection locked="0" hidden="0"/>
    </xf>
    <xf numFmtId="1" fontId="92" fillId="0" borderId="105" applyAlignment="1" applyProtection="1" pivotButton="0" quotePrefix="0" xfId="416">
      <alignment horizontal="left" vertical="center"/>
      <protection locked="0" hidden="0"/>
    </xf>
    <xf numFmtId="206" fontId="92" fillId="0" borderId="101" applyAlignment="1" applyProtection="1" pivotButton="0" quotePrefix="0" xfId="416">
      <alignment vertical="center" wrapText="1"/>
      <protection locked="0" hidden="0"/>
    </xf>
    <xf numFmtId="9" fontId="130" fillId="0" borderId="0" applyProtection="1" pivotButton="0" quotePrefix="0" xfId="406">
      <protection locked="0" hidden="0"/>
    </xf>
    <xf numFmtId="43" fontId="132" fillId="0" borderId="0" applyProtection="1" pivotButton="0" quotePrefix="0" xfId="417">
      <protection locked="0" hidden="0"/>
    </xf>
    <xf numFmtId="1" fontId="84" fillId="0" borderId="101" applyAlignment="1" applyProtection="1" pivotButton="0" quotePrefix="0" xfId="416">
      <alignment horizontal="left" vertical="center"/>
      <protection locked="0" hidden="0"/>
    </xf>
    <xf numFmtId="9" fontId="66" fillId="0" borderId="0" pivotButton="0" quotePrefix="0" xfId="406"/>
    <xf numFmtId="9" fontId="66" fillId="0" borderId="0" pivotButton="0" quotePrefix="0" xfId="406"/>
    <xf numFmtId="9" fontId="130" fillId="0" borderId="0" applyProtection="1" pivotButton="0" quotePrefix="0" xfId="406">
      <protection locked="0" hidden="0"/>
    </xf>
    <xf numFmtId="9" fontId="0" fillId="0" borderId="0" pivotButton="0" quotePrefix="0" xfId="406"/>
    <xf numFmtId="43" fontId="0" fillId="0" borderId="0" pivotButton="0" quotePrefix="0" xfId="417"/>
    <xf numFmtId="1" fontId="92" fillId="14" borderId="101" applyAlignment="1" applyProtection="1" pivotButton="0" quotePrefix="0" xfId="416">
      <alignment horizontal="left" vertical="center"/>
      <protection locked="0" hidden="0"/>
    </xf>
    <xf numFmtId="206" fontId="92" fillId="14" borderId="101" applyAlignment="1" applyProtection="1" pivotButton="0" quotePrefix="0" xfId="416">
      <alignment vertical="center" wrapText="1"/>
      <protection locked="0" hidden="0"/>
    </xf>
    <xf numFmtId="0" fontId="100" fillId="0" borderId="0" pivotButton="0" quotePrefix="0" xfId="0"/>
    <xf numFmtId="9" fontId="100" fillId="0" borderId="0" pivotButton="0" quotePrefix="0" xfId="0"/>
    <xf numFmtId="206" fontId="133" fillId="0" borderId="0" pivotButton="0" quotePrefix="0" xfId="0"/>
    <xf numFmtId="0" fontId="134" fillId="0" borderId="0" pivotButton="0" quotePrefix="1" xfId="0"/>
    <xf numFmtId="1" fontId="92" fillId="0" borderId="0" applyAlignment="1" applyProtection="1" pivotButton="0" quotePrefix="0" xfId="416">
      <alignment horizontal="left" vertical="center"/>
      <protection locked="0" hidden="0"/>
    </xf>
    <xf numFmtId="206" fontId="130" fillId="0" borderId="0" applyProtection="1" pivotButton="0" quotePrefix="0" xfId="415">
      <protection locked="0" hidden="0"/>
    </xf>
    <xf numFmtId="207" fontId="0" fillId="0" borderId="0" pivotButton="0" quotePrefix="0" xfId="417"/>
    <xf numFmtId="207" fontId="0" fillId="0" borderId="0" pivotButton="0" quotePrefix="0" xfId="0"/>
    <xf numFmtId="207" fontId="135" fillId="0" borderId="0" pivotButton="0" quotePrefix="0" xfId="417"/>
    <xf numFmtId="207" fontId="136" fillId="0" borderId="0" pivotButton="0" quotePrefix="0" xfId="417"/>
    <xf numFmtId="207" fontId="133" fillId="0" borderId="0" pivotButton="0" quotePrefix="0" xfId="417"/>
    <xf numFmtId="0" fontId="137" fillId="60" borderId="44" pivotButton="0" quotePrefix="0" xfId="0"/>
    <xf numFmtId="0" fontId="0" fillId="60" borderId="45" pivotButton="0" quotePrefix="0" xfId="0"/>
    <xf numFmtId="206" fontId="0" fillId="60" borderId="45" pivotButton="0" quotePrefix="0" xfId="0"/>
    <xf numFmtId="0" fontId="0" fillId="60" borderId="46" pivotButton="0" quotePrefix="0" xfId="0"/>
    <xf numFmtId="0" fontId="0" fillId="60" borderId="44" pivotButton="0" quotePrefix="0" xfId="0"/>
    <xf numFmtId="43" fontId="0" fillId="0" borderId="0" pivotButton="0" quotePrefix="0" xfId="417"/>
    <xf numFmtId="0" fontId="0" fillId="60" borderId="47" pivotButton="0" quotePrefix="0" xfId="0"/>
    <xf numFmtId="0" fontId="0" fillId="60" borderId="0" pivotButton="0" quotePrefix="0" xfId="0"/>
    <xf numFmtId="0" fontId="0" fillId="60" borderId="48" pivotButton="0" quotePrefix="0" xfId="0"/>
    <xf numFmtId="206" fontId="0" fillId="60" borderId="49" pivotButton="0" quotePrefix="0" xfId="0"/>
    <xf numFmtId="206" fontId="0" fillId="60" borderId="50" pivotButton="0" quotePrefix="0" xfId="0"/>
    <xf numFmtId="0" fontId="0" fillId="60" borderId="50" pivotButton="0" quotePrefix="0" xfId="0"/>
    <xf numFmtId="0" fontId="0" fillId="60" borderId="51" pivotButton="0" quotePrefix="0" xfId="0"/>
    <xf numFmtId="206" fontId="0" fillId="60" borderId="44" pivotButton="0" quotePrefix="0" xfId="0"/>
    <xf numFmtId="9" fontId="0" fillId="0" borderId="0" pivotButton="0" quotePrefix="0" xfId="406"/>
    <xf numFmtId="207" fontId="0" fillId="60" borderId="47" pivotButton="0" quotePrefix="0" xfId="417"/>
    <xf numFmtId="9" fontId="0" fillId="60" borderId="0" pivotButton="0" quotePrefix="0" xfId="406"/>
    <xf numFmtId="207" fontId="0" fillId="60" borderId="49" pivotButton="0" quotePrefix="0" xfId="417"/>
    <xf numFmtId="207" fontId="0" fillId="60" borderId="50" pivotButton="0" quotePrefix="0" xfId="0"/>
    <xf numFmtId="206" fontId="0" fillId="60" borderId="47" pivotButton="0" quotePrefix="0" xfId="0"/>
    <xf numFmtId="206" fontId="0" fillId="60" borderId="0" pivotButton="0" quotePrefix="0" xfId="0"/>
    <xf numFmtId="43" fontId="0" fillId="0" borderId="0" pivotButton="0" quotePrefix="0" xfId="417"/>
    <xf numFmtId="9" fontId="0" fillId="60" borderId="50" pivotButton="0" quotePrefix="0" xfId="406"/>
    <xf numFmtId="43" fontId="0" fillId="60" borderId="50" pivotButton="0" quotePrefix="0" xfId="417"/>
    <xf numFmtId="208" fontId="0" fillId="0" borderId="0" pivotButton="0" quotePrefix="0" xfId="0"/>
    <xf numFmtId="0" fontId="133" fillId="0" borderId="0" pivotButton="0" quotePrefix="0" xfId="0"/>
    <xf numFmtId="0" fontId="128" fillId="0" borderId="0" pivotButton="0" quotePrefix="0" xfId="414"/>
    <xf numFmtId="0" fontId="138" fillId="0" borderId="0" pivotButton="0" quotePrefix="0" xfId="414"/>
    <xf numFmtId="17" fontId="102" fillId="14" borderId="106" applyAlignment="1" pivotButton="0" quotePrefix="0" xfId="0">
      <alignment horizontal="right" vertical="center"/>
    </xf>
    <xf numFmtId="17" fontId="0" fillId="0" borderId="0" pivotButton="0" quotePrefix="0" xfId="0"/>
    <xf numFmtId="0" fontId="102" fillId="14" borderId="0" applyAlignment="1" pivotButton="0" quotePrefix="0" xfId="0">
      <alignment vertical="center"/>
    </xf>
    <xf numFmtId="207" fontId="102" fillId="14" borderId="0" applyAlignment="1" pivotButton="0" quotePrefix="0" xfId="417">
      <alignment vertical="center"/>
    </xf>
    <xf numFmtId="0" fontId="100" fillId="0" borderId="0" applyAlignment="1" pivotButton="0" quotePrefix="0" xfId="0">
      <alignment vertical="center"/>
    </xf>
    <xf numFmtId="207" fontId="100" fillId="0" borderId="0" pivotButton="0" quotePrefix="0" xfId="417"/>
    <xf numFmtId="0" fontId="102" fillId="0" borderId="0" applyAlignment="1" pivotButton="0" quotePrefix="0" xfId="0">
      <alignment vertical="center"/>
    </xf>
    <xf numFmtId="207" fontId="102" fillId="0" borderId="0" pivotButton="0" quotePrefix="0" xfId="417"/>
    <xf numFmtId="0" fontId="139" fillId="0" borderId="0" applyAlignment="1" pivotButton="0" quotePrefix="0" xfId="0">
      <alignment vertical="center"/>
    </xf>
    <xf numFmtId="1" fontId="100" fillId="0" borderId="0" applyAlignment="1" pivotButton="0" quotePrefix="0" xfId="0">
      <alignment vertical="center"/>
    </xf>
    <xf numFmtId="206" fontId="84" fillId="0" borderId="101" applyAlignment="1" pivotButton="0" quotePrefix="0" xfId="416">
      <alignment vertical="center" wrapText="1"/>
    </xf>
    <xf numFmtId="1" fontId="100" fillId="61" borderId="0" applyAlignment="1" pivotButton="0" quotePrefix="0" xfId="0">
      <alignment vertical="center"/>
    </xf>
    <xf numFmtId="207" fontId="102" fillId="0" borderId="107" pivotButton="0" quotePrefix="0" xfId="417"/>
    <xf numFmtId="0" fontId="100" fillId="61" borderId="0" applyAlignment="1" pivotButton="0" quotePrefix="0" xfId="0">
      <alignment vertical="center"/>
    </xf>
    <xf numFmtId="0" fontId="102" fillId="55" borderId="0" applyAlignment="1" pivotButton="0" quotePrefix="0" xfId="0">
      <alignment vertical="center"/>
    </xf>
    <xf numFmtId="207" fontId="100" fillId="55" borderId="0" pivotButton="0" quotePrefix="0" xfId="417"/>
    <xf numFmtId="0" fontId="103" fillId="0" borderId="0" pivotButton="0" quotePrefix="0" xfId="0"/>
    <xf numFmtId="0" fontId="6" fillId="0" borderId="17" applyAlignment="1" pivotButton="0" quotePrefix="0" xfId="0">
      <alignment horizontal="center"/>
    </xf>
    <xf numFmtId="0" fontId="6" fillId="10" borderId="0" pivotButton="0" quotePrefix="0" xfId="0"/>
    <xf numFmtId="0" fontId="0" fillId="0" borderId="17" applyAlignment="1" pivotButton="0" quotePrefix="0" xfId="0">
      <alignment horizontal="center"/>
    </xf>
    <xf numFmtId="167" fontId="0" fillId="12" borderId="0" pivotButton="0" quotePrefix="0" xfId="0"/>
    <xf numFmtId="9" fontId="0" fillId="12" borderId="0" pivotButton="0" quotePrefix="0" xfId="406"/>
    <xf numFmtId="0" fontId="133" fillId="0" borderId="0" pivotButton="0" quotePrefix="1" xfId="0"/>
    <xf numFmtId="208" fontId="0" fillId="0" borderId="0" pivotButton="0" quotePrefix="0" xfId="412"/>
    <xf numFmtId="169" fontId="0" fillId="12" borderId="0" pivotButton="0" quotePrefix="0" xfId="406"/>
    <xf numFmtId="209" fontId="9" fillId="0" borderId="17" pivotButton="0" quotePrefix="0" xfId="1"/>
    <xf numFmtId="0" fontId="8" fillId="56" borderId="17" pivotButton="0" quotePrefix="0" xfId="1"/>
    <xf numFmtId="17" fontId="141" fillId="62" borderId="17" applyAlignment="1" pivotButton="0" quotePrefix="0" xfId="418">
      <alignment horizontal="center" vertical="center"/>
    </xf>
    <xf numFmtId="9" fontId="0" fillId="0" borderId="0" pivotButton="0" quotePrefix="0" xfId="406"/>
    <xf numFmtId="17" fontId="141" fillId="62" borderId="0" applyAlignment="1" pivotButton="0" quotePrefix="0" xfId="418">
      <alignment horizontal="center" vertical="center"/>
    </xf>
    <xf numFmtId="0" fontId="6" fillId="0" borderId="17" pivotButton="0" quotePrefix="0" xfId="0"/>
    <xf numFmtId="9" fontId="0" fillId="0" borderId="0" pivotButton="0" quotePrefix="0" xfId="0"/>
    <xf numFmtId="17" fontId="6" fillId="0" borderId="17" pivotButton="0" quotePrefix="0" xfId="0"/>
    <xf numFmtId="0" fontId="6" fillId="0" borderId="107" pivotButton="0" quotePrefix="0" xfId="0"/>
    <xf numFmtId="9" fontId="0" fillId="0" borderId="13" pivotButton="0" quotePrefix="0" xfId="0"/>
    <xf numFmtId="210" fontId="0" fillId="63" borderId="13" pivotButton="0" quotePrefix="0" xfId="412"/>
    <xf numFmtId="210" fontId="0" fillId="0" borderId="0" pivotButton="0" quotePrefix="0" xfId="412"/>
    <xf numFmtId="210" fontId="0" fillId="63" borderId="16" pivotButton="0" quotePrefix="0" xfId="412"/>
    <xf numFmtId="210" fontId="6" fillId="0" borderId="107" pivotButton="0" quotePrefix="0" xfId="412"/>
    <xf numFmtId="0" fontId="135" fillId="0" borderId="0" pivotButton="0" quotePrefix="0" xfId="0"/>
    <xf numFmtId="9" fontId="133" fillId="0" borderId="0" pivotButton="0" quotePrefix="0" xfId="406"/>
    <xf numFmtId="208" fontId="13" fillId="12" borderId="20" pivotButton="0" quotePrefix="0" xfId="412"/>
    <xf numFmtId="0" fontId="142" fillId="11" borderId="108" applyAlignment="1" pivotButton="0" quotePrefix="0" xfId="0">
      <alignment horizontal="left" wrapText="1" readingOrder="1"/>
    </xf>
    <xf numFmtId="0" fontId="142" fillId="11" borderId="109" applyAlignment="1" pivotButton="0" quotePrefix="0" xfId="0">
      <alignment horizontal="right" wrapText="1" readingOrder="1"/>
    </xf>
    <xf numFmtId="0" fontId="143" fillId="0" borderId="0" applyAlignment="1" pivotButton="0" quotePrefix="0" xfId="0">
      <alignment horizontal="left" wrapText="1" readingOrder="1"/>
    </xf>
    <xf numFmtId="0" fontId="144" fillId="0" borderId="0" applyAlignment="1" pivotButton="0" quotePrefix="0" xfId="0">
      <alignment horizontal="right" wrapText="1" readingOrder="1"/>
    </xf>
    <xf numFmtId="10" fontId="144" fillId="0" borderId="0" applyAlignment="1" pivotButton="0" quotePrefix="0" xfId="0">
      <alignment horizontal="right" wrapText="1" readingOrder="1"/>
    </xf>
    <xf numFmtId="0" fontId="143" fillId="0" borderId="111" applyAlignment="1" pivotButton="0" quotePrefix="0" xfId="0">
      <alignment horizontal="left" wrapText="1" readingOrder="1"/>
    </xf>
    <xf numFmtId="0" fontId="142" fillId="11" borderId="113" applyAlignment="1" pivotButton="0" quotePrefix="0" xfId="0">
      <alignment horizontal="left" wrapText="1" readingOrder="1"/>
    </xf>
    <xf numFmtId="0" fontId="142" fillId="11" borderId="114" applyAlignment="1" pivotButton="0" quotePrefix="0" xfId="0">
      <alignment horizontal="right" wrapText="1" readingOrder="1"/>
    </xf>
    <xf numFmtId="0" fontId="143" fillId="0" borderId="115" applyAlignment="1" pivotButton="0" quotePrefix="0" xfId="0">
      <alignment horizontal="left" wrapText="1" readingOrder="1"/>
    </xf>
    <xf numFmtId="0" fontId="143" fillId="0" borderId="116" applyAlignment="1" pivotButton="0" quotePrefix="0" xfId="0">
      <alignment horizontal="left" wrapText="1" readingOrder="1"/>
    </xf>
    <xf numFmtId="0" fontId="143" fillId="0" borderId="119" applyAlignment="1" pivotButton="0" quotePrefix="0" xfId="0">
      <alignment horizontal="left" wrapText="1" readingOrder="1"/>
    </xf>
    <xf numFmtId="0" fontId="145" fillId="0" borderId="118" applyAlignment="1" pivotButton="0" quotePrefix="0" xfId="0">
      <alignment horizontal="left" wrapText="1" readingOrder="1"/>
    </xf>
    <xf numFmtId="0" fontId="145" fillId="64" borderId="119" applyAlignment="1" pivotButton="0" quotePrefix="0" xfId="0">
      <alignment horizontal="left" wrapText="1" readingOrder="1"/>
    </xf>
    <xf numFmtId="0" fontId="146" fillId="0" borderId="0" applyAlignment="1" pivotButton="0" quotePrefix="0" xfId="0">
      <alignment vertical="center" wrapText="1"/>
    </xf>
    <xf numFmtId="0" fontId="146" fillId="0" borderId="119" applyAlignment="1" pivotButton="0" quotePrefix="0" xfId="0">
      <alignment vertical="center" wrapText="1"/>
    </xf>
    <xf numFmtId="0" fontId="146" fillId="0" borderId="120" applyAlignment="1" pivotButton="0" quotePrefix="0" xfId="0">
      <alignment vertical="center" wrapText="1"/>
    </xf>
    <xf numFmtId="0" fontId="147" fillId="0" borderId="119" applyAlignment="1" pivotButton="0" quotePrefix="0" xfId="0">
      <alignment horizontal="left" wrapText="1" readingOrder="1"/>
    </xf>
    <xf numFmtId="0" fontId="146" fillId="0" borderId="0" applyAlignment="1" pivotButton="0" quotePrefix="0" xfId="0">
      <alignment horizontal="right" vertical="center" wrapText="1"/>
    </xf>
    <xf numFmtId="0" fontId="148" fillId="0" borderId="119" applyAlignment="1" pivotButton="0" quotePrefix="0" xfId="0">
      <alignment horizontal="left" wrapText="1" readingOrder="1"/>
    </xf>
    <xf numFmtId="0" fontId="149" fillId="0" borderId="0" applyAlignment="1" pivotButton="0" quotePrefix="0" xfId="0">
      <alignment horizontal="right" wrapText="1" readingOrder="1"/>
    </xf>
    <xf numFmtId="0" fontId="147" fillId="0" borderId="0" applyAlignment="1" pivotButton="0" quotePrefix="0" xfId="0">
      <alignment horizontal="left" wrapText="1" readingOrder="1"/>
    </xf>
    <xf numFmtId="0" fontId="148" fillId="0" borderId="116" applyAlignment="1" pivotButton="0" quotePrefix="0" xfId="0">
      <alignment horizontal="left" wrapText="1" readingOrder="1"/>
    </xf>
    <xf numFmtId="167" fontId="143" fillId="0" borderId="117" applyAlignment="1" pivotButton="0" quotePrefix="0" xfId="0">
      <alignment horizontal="right" wrapText="1" readingOrder="1"/>
    </xf>
    <xf numFmtId="210" fontId="145" fillId="64" borderId="120" applyAlignment="1" pivotButton="0" quotePrefix="0" xfId="412">
      <alignment horizontal="left" wrapText="1" readingOrder="1"/>
    </xf>
    <xf numFmtId="167" fontId="147" fillId="0" borderId="120" applyAlignment="1" pivotButton="0" quotePrefix="0" xfId="0">
      <alignment horizontal="right" wrapText="1" readingOrder="1"/>
    </xf>
    <xf numFmtId="166" fontId="143" fillId="0" borderId="120" applyAlignment="1" pivotButton="0" quotePrefix="0" xfId="0">
      <alignment horizontal="right" wrapText="1" readingOrder="1"/>
    </xf>
    <xf numFmtId="166" fontId="144" fillId="0" borderId="0" applyAlignment="1" pivotButton="0" quotePrefix="0" xfId="0">
      <alignment horizontal="right" wrapText="1" readingOrder="1"/>
    </xf>
    <xf numFmtId="166" fontId="149" fillId="0" borderId="0" applyAlignment="1" pivotButton="0" quotePrefix="0" xfId="0">
      <alignment horizontal="right" wrapText="1" readingOrder="1"/>
    </xf>
    <xf numFmtId="0" fontId="148" fillId="0" borderId="0" applyAlignment="1" pivotButton="0" quotePrefix="0" xfId="0">
      <alignment horizontal="left" wrapText="1" readingOrder="1"/>
    </xf>
    <xf numFmtId="210" fontId="8" fillId="0" borderId="0" pivotButton="0" quotePrefix="0" xfId="412"/>
    <xf numFmtId="9" fontId="15" fillId="0" borderId="0" pivotButton="0" quotePrefix="0" xfId="406"/>
    <xf numFmtId="166" fontId="144" fillId="0" borderId="0" applyAlignment="1" pivotButton="0" quotePrefix="0" xfId="406">
      <alignment horizontal="right" wrapText="1" readingOrder="1"/>
    </xf>
    <xf numFmtId="167" fontId="147" fillId="0" borderId="0" applyAlignment="1" pivotButton="0" quotePrefix="0" xfId="0">
      <alignment horizontal="right" wrapText="1" readingOrder="1"/>
    </xf>
    <xf numFmtId="211" fontId="8" fillId="0" borderId="0" pivotButton="0" quotePrefix="0" xfId="1"/>
    <xf numFmtId="212" fontId="9" fillId="14" borderId="0" pivotButton="0" quotePrefix="0" xfId="1"/>
    <xf numFmtId="212" fontId="9" fillId="14" borderId="13" pivotButton="0" quotePrefix="0" xfId="1"/>
    <xf numFmtId="0" fontId="5" fillId="65" borderId="0" pivotButton="0" quotePrefix="0" xfId="0"/>
    <xf numFmtId="0" fontId="142" fillId="0" borderId="109" applyAlignment="1" pivotButton="0" quotePrefix="0" xfId="0">
      <alignment horizontal="right" wrapText="1" readingOrder="1"/>
    </xf>
    <xf numFmtId="0" fontId="6" fillId="46" borderId="0" pivotButton="0" quotePrefix="0" xfId="0"/>
    <xf numFmtId="0" fontId="0" fillId="49" borderId="0" pivotButton="0" quotePrefix="0" xfId="0"/>
    <xf numFmtId="0" fontId="6" fillId="49" borderId="0" pivotButton="0" quotePrefix="0" xfId="0"/>
    <xf numFmtId="0" fontId="0" fillId="0" borderId="122" pivotButton="0" quotePrefix="0" xfId="0"/>
    <xf numFmtId="210" fontId="0" fillId="0" borderId="122" pivotButton="0" quotePrefix="0" xfId="412"/>
    <xf numFmtId="0" fontId="6" fillId="46" borderId="17" applyAlignment="1" pivotButton="0" quotePrefix="0" xfId="0">
      <alignment horizontal="center"/>
    </xf>
    <xf numFmtId="0" fontId="6" fillId="0" borderId="121" pivotButton="0" quotePrefix="0" xfId="0"/>
    <xf numFmtId="210" fontId="6" fillId="0" borderId="121" pivotButton="0" quotePrefix="0" xfId="412"/>
    <xf numFmtId="0" fontId="6" fillId="0" borderId="122" pivotButton="0" quotePrefix="0" xfId="0"/>
    <xf numFmtId="210" fontId="6" fillId="0" borderId="122" pivotButton="0" quotePrefix="0" xfId="412"/>
    <xf numFmtId="0" fontId="0" fillId="0" borderId="123" pivotButton="0" quotePrefix="0" xfId="0"/>
    <xf numFmtId="9" fontId="0" fillId="0" borderId="123" pivotButton="0" quotePrefix="0" xfId="406"/>
    <xf numFmtId="0" fontId="6" fillId="49" borderId="17" pivotButton="0" quotePrefix="0" xfId="0"/>
    <xf numFmtId="213" fontId="6" fillId="49" borderId="17" pivotButton="0" quotePrefix="0" xfId="0"/>
    <xf numFmtId="172" fontId="8" fillId="65" borderId="0" pivotButton="0" quotePrefix="0" xfId="1"/>
    <xf numFmtId="0" fontId="6" fillId="66" borderId="0" pivotButton="0" quotePrefix="0" xfId="0"/>
    <xf numFmtId="0" fontId="0" fillId="66" borderId="0" pivotButton="0" quotePrefix="0" xfId="0"/>
    <xf numFmtId="0" fontId="133" fillId="49" borderId="0" pivotButton="0" quotePrefix="0" xfId="0"/>
    <xf numFmtId="0" fontId="135" fillId="49" borderId="0" pivotButton="0" quotePrefix="0" xfId="0"/>
    <xf numFmtId="9" fontId="133" fillId="0" borderId="0" pivotButton="0" quotePrefix="0" xfId="406"/>
    <xf numFmtId="214" fontId="0" fillId="0" borderId="0" pivotButton="0" quotePrefix="0" xfId="412"/>
    <xf numFmtId="214" fontId="6" fillId="46" borderId="0" pivotButton="0" quotePrefix="0" xfId="412"/>
    <xf numFmtId="0" fontId="150" fillId="0" borderId="0" applyAlignment="1" pivotButton="0" quotePrefix="0" xfId="0">
      <alignment vertical="center" wrapText="1"/>
    </xf>
    <xf numFmtId="0" fontId="151" fillId="67" borderId="124" applyAlignment="1" pivotButton="0" quotePrefix="0" xfId="0">
      <alignment horizontal="center" vertical="center" wrapText="1" readingOrder="1"/>
    </xf>
    <xf numFmtId="0" fontId="151" fillId="67" borderId="125" applyAlignment="1" pivotButton="0" quotePrefix="0" xfId="0">
      <alignment horizontal="center" vertical="center" wrapText="1" readingOrder="1"/>
    </xf>
    <xf numFmtId="0" fontId="151" fillId="67" borderId="0" applyAlignment="1" pivotButton="0" quotePrefix="0" xfId="0">
      <alignment horizontal="center" vertical="center" wrapText="1" readingOrder="1"/>
    </xf>
    <xf numFmtId="0" fontId="151" fillId="0" borderId="0" applyAlignment="1" pivotButton="0" quotePrefix="0" xfId="0">
      <alignment horizontal="left" vertical="center" wrapText="1" readingOrder="1"/>
    </xf>
    <xf numFmtId="9" fontId="152" fillId="0" borderId="124" applyAlignment="1" pivotButton="0" quotePrefix="0" xfId="0">
      <alignment horizontal="right" wrapText="1" readingOrder="1"/>
    </xf>
    <xf numFmtId="9" fontId="152" fillId="0" borderId="125" applyAlignment="1" pivotButton="0" quotePrefix="0" xfId="0">
      <alignment horizontal="right" wrapText="1" readingOrder="1"/>
    </xf>
    <xf numFmtId="9" fontId="152" fillId="0" borderId="0" applyAlignment="1" pivotButton="0" quotePrefix="0" xfId="0">
      <alignment horizontal="right" wrapText="1" readingOrder="1"/>
    </xf>
    <xf numFmtId="0" fontId="152" fillId="0" borderId="124" applyAlignment="1" pivotButton="0" quotePrefix="0" xfId="0">
      <alignment horizontal="center" vertical="center" wrapText="1" readingOrder="1"/>
    </xf>
    <xf numFmtId="0" fontId="150" fillId="0" borderId="125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111" applyAlignment="1" pivotButton="0" quotePrefix="0" xfId="0">
      <alignment horizontal="left" vertical="center" wrapText="1" readingOrder="1"/>
    </xf>
    <xf numFmtId="0" fontId="150" fillId="0" borderId="111" applyAlignment="1" pivotButton="0" quotePrefix="0" xfId="0">
      <alignment vertical="center" wrapText="1"/>
    </xf>
    <xf numFmtId="0" fontId="150" fillId="64" borderId="126" applyAlignment="1" pivotButton="0" quotePrefix="0" xfId="0">
      <alignment horizontal="right" vertical="center" wrapText="1"/>
    </xf>
    <xf numFmtId="0" fontId="151" fillId="0" borderId="112" applyAlignment="1" pivotButton="0" quotePrefix="0" xfId="0">
      <alignment horizontal="left" vertical="center" wrapText="1" readingOrder="1"/>
    </xf>
    <xf numFmtId="0" fontId="150" fillId="64" borderId="127" applyAlignment="1" pivotButton="0" quotePrefix="0" xfId="0">
      <alignment horizontal="right" vertical="center" wrapText="1"/>
    </xf>
    <xf numFmtId="0" fontId="150" fillId="64" borderId="124" applyAlignment="1" pivotButton="0" quotePrefix="0" xfId="0">
      <alignment horizontal="right" vertical="center" wrapText="1"/>
    </xf>
    <xf numFmtId="9" fontId="152" fillId="0" borderId="125" applyAlignment="1" pivotButton="0" quotePrefix="0" xfId="0">
      <alignment horizontal="right" vertical="center" wrapText="1" readingOrder="1"/>
    </xf>
    <xf numFmtId="165" fontId="151" fillId="0" borderId="124" applyAlignment="1" pivotButton="0" quotePrefix="0" xfId="0">
      <alignment horizontal="right" wrapText="1" readingOrder="1"/>
    </xf>
    <xf numFmtId="165" fontId="151" fillId="0" borderId="125" applyAlignment="1" pivotButton="0" quotePrefix="0" xfId="0">
      <alignment horizontal="right" vertical="center" wrapText="1" readingOrder="1"/>
    </xf>
    <xf numFmtId="165" fontId="151" fillId="0" borderId="0" applyAlignment="1" pivotButton="0" quotePrefix="0" xfId="0">
      <alignment horizontal="right" vertical="center" wrapText="1" readingOrder="1"/>
    </xf>
    <xf numFmtId="165" fontId="152" fillId="0" borderId="125" applyAlignment="1" pivotButton="0" quotePrefix="0" xfId="0">
      <alignment horizontal="right" vertical="center" wrapText="1" readingOrder="1"/>
    </xf>
    <xf numFmtId="167" fontId="151" fillId="0" borderId="128" applyAlignment="1" pivotButton="0" quotePrefix="0" xfId="0">
      <alignment horizontal="right" vertical="center" wrapText="1" readingOrder="1"/>
    </xf>
    <xf numFmtId="9" fontId="152" fillId="0" borderId="0" applyAlignment="1" pivotButton="0" quotePrefix="0" xfId="0">
      <alignment horizontal="right" vertical="center" wrapText="1" readingOrder="1"/>
    </xf>
    <xf numFmtId="167" fontId="151" fillId="0" borderId="112" applyAlignment="1" pivotButton="0" quotePrefix="0" xfId="0">
      <alignment horizontal="right" vertical="center" wrapText="1" readingOrder="1"/>
    </xf>
    <xf numFmtId="165" fontId="152" fillId="0" borderId="0" applyAlignment="1" pivotButton="0" quotePrefix="0" xfId="0">
      <alignment horizontal="right" vertical="center" wrapText="1" readingOrder="1"/>
    </xf>
    <xf numFmtId="0" fontId="6" fillId="0" borderId="28" applyAlignment="1" pivotButton="0" quotePrefix="0" xfId="0">
      <alignment horizontal="centerContinuous"/>
    </xf>
    <xf numFmtId="0" fontId="137" fillId="0" borderId="17" applyAlignment="1" pivotButton="0" quotePrefix="0" xfId="0">
      <alignment horizontal="center"/>
    </xf>
    <xf numFmtId="0" fontId="137" fillId="0" borderId="0" applyAlignment="1" pivotButton="0" quotePrefix="0" xfId="0">
      <alignment horizontal="center"/>
    </xf>
    <xf numFmtId="0" fontId="0" fillId="0" borderId="0" pivotButton="0" quotePrefix="1" xfId="0"/>
    <xf numFmtId="172" fontId="143" fillId="0" borderId="110" applyAlignment="1" pivotButton="0" quotePrefix="0" xfId="412">
      <alignment horizontal="right" wrapText="1" readingOrder="1"/>
    </xf>
    <xf numFmtId="172" fontId="145" fillId="46" borderId="107" applyAlignment="1" pivotButton="0" quotePrefix="0" xfId="412">
      <alignment horizontal="right" wrapText="1" readingOrder="1"/>
    </xf>
    <xf numFmtId="0" fontId="145" fillId="46" borderId="112" applyAlignment="1" pivotButton="0" quotePrefix="0" xfId="0">
      <alignment horizontal="left" wrapText="1" readingOrder="1"/>
    </xf>
    <xf numFmtId="172" fontId="145" fillId="0" borderId="0" applyAlignment="1" pivotButton="0" quotePrefix="0" xfId="412">
      <alignment horizontal="right" wrapText="1" readingOrder="1"/>
    </xf>
    <xf numFmtId="172" fontId="145" fillId="0" borderId="129" applyAlignment="1" pivotButton="0" quotePrefix="0" xfId="412">
      <alignment horizontal="right" wrapText="1" readingOrder="1"/>
    </xf>
    <xf numFmtId="172" fontId="145" fillId="0" borderId="130" applyAlignment="1" pivotButton="0" quotePrefix="0" xfId="412">
      <alignment horizontal="right" wrapText="1" readingOrder="1"/>
    </xf>
    <xf numFmtId="165" fontId="0" fillId="12" borderId="0" pivotButton="0" quotePrefix="0" xfId="0"/>
    <xf numFmtId="0" fontId="6" fillId="65" borderId="0" pivotButton="0" quotePrefix="0" xfId="0"/>
    <xf numFmtId="0" fontId="0" fillId="65" borderId="0" pivotButton="0" quotePrefix="0" xfId="0"/>
    <xf numFmtId="206" fontId="92" fillId="0" borderId="101" applyAlignment="1" pivotButton="0" quotePrefix="0" xfId="416">
      <alignment vertical="center" wrapText="1"/>
    </xf>
    <xf numFmtId="3" fontId="92" fillId="14" borderId="131" applyAlignment="1" applyProtection="1" pivotButton="0" quotePrefix="1" xfId="416">
      <alignment horizontal="center" vertical="center" wrapText="1"/>
      <protection locked="0" hidden="0"/>
    </xf>
    <xf numFmtId="0" fontId="0" fillId="0" borderId="121" pivotButton="0" quotePrefix="0" xfId="0"/>
    <xf numFmtId="0" fontId="0" fillId="0" borderId="132" pivotButton="0" quotePrefix="0" xfId="0"/>
    <xf numFmtId="215" fontId="84" fillId="0" borderId="121" applyAlignment="1" pivotButton="0" quotePrefix="0" xfId="412">
      <alignment vertical="center" wrapText="1"/>
    </xf>
    <xf numFmtId="215" fontId="84" fillId="0" borderId="121" applyAlignment="1" applyProtection="1" pivotButton="0" quotePrefix="0" xfId="412">
      <alignment vertical="center" wrapText="1"/>
      <protection locked="0" hidden="0"/>
    </xf>
    <xf numFmtId="215" fontId="84" fillId="0" borderId="122" applyAlignment="1" applyProtection="1" pivotButton="0" quotePrefix="0" xfId="412">
      <alignment vertical="center" wrapText="1"/>
      <protection locked="0" hidden="0"/>
    </xf>
    <xf numFmtId="215" fontId="0" fillId="0" borderId="132" pivotButton="0" quotePrefix="0" xfId="412"/>
    <xf numFmtId="215" fontId="92" fillId="0" borderId="121" applyAlignment="1" pivotButton="0" quotePrefix="0" xfId="412">
      <alignment vertical="center" wrapText="1"/>
    </xf>
    <xf numFmtId="215" fontId="92" fillId="0" borderId="121" applyAlignment="1" applyProtection="1" pivotButton="0" quotePrefix="0" xfId="412">
      <alignment vertical="center" wrapText="1"/>
      <protection locked="0" hidden="0"/>
    </xf>
    <xf numFmtId="215" fontId="92" fillId="0" borderId="122" applyAlignment="1" applyProtection="1" pivotButton="0" quotePrefix="0" xfId="412">
      <alignment vertical="center" wrapText="1"/>
      <protection locked="0" hidden="0"/>
    </xf>
    <xf numFmtId="215" fontId="6" fillId="0" borderId="121" pivotButton="0" quotePrefix="0" xfId="412"/>
    <xf numFmtId="215" fontId="6" fillId="0" borderId="122" pivotButton="0" quotePrefix="0" xfId="412"/>
    <xf numFmtId="215" fontId="6" fillId="0" borderId="132" pivotButton="0" quotePrefix="0" xfId="412"/>
    <xf numFmtId="215" fontId="1" fillId="0" borderId="121" pivotButton="0" quotePrefix="0" xfId="412"/>
    <xf numFmtId="215" fontId="1" fillId="0" borderId="122" pivotButton="0" quotePrefix="0" xfId="412"/>
    <xf numFmtId="215" fontId="1" fillId="0" borderId="132" pivotButton="0" quotePrefix="0" xfId="412"/>
    <xf numFmtId="0" fontId="128" fillId="0" borderId="0" pivotButton="0" quotePrefix="0" xfId="419"/>
    <xf numFmtId="0" fontId="154" fillId="0" borderId="0" applyProtection="1" pivotButton="0" quotePrefix="0" xfId="419">
      <protection locked="0" hidden="0"/>
    </xf>
    <xf numFmtId="0" fontId="156" fillId="0" borderId="100" applyProtection="1" pivotButton="0" quotePrefix="0" xfId="413">
      <protection locked="0" hidden="0"/>
    </xf>
    <xf numFmtId="0" fontId="156" fillId="0" borderId="0" applyProtection="1" pivotButton="0" quotePrefix="0" xfId="419">
      <protection locked="0" hidden="0"/>
    </xf>
    <xf numFmtId="0" fontId="130" fillId="0" borderId="0" applyAlignment="1" applyProtection="1" pivotButton="0" quotePrefix="0" xfId="415">
      <alignment horizontal="center"/>
      <protection locked="0" hidden="0"/>
    </xf>
    <xf numFmtId="0" fontId="102" fillId="14" borderId="106" applyAlignment="1" pivotButton="0" quotePrefix="0" xfId="0">
      <alignment horizontal="center" vertical="center" wrapText="1"/>
    </xf>
    <xf numFmtId="3" fontId="84" fillId="63" borderId="104" applyAlignment="1" applyProtection="1" pivotButton="0" quotePrefix="0" xfId="416">
      <alignment horizontal="center" vertical="center" wrapText="1"/>
      <protection locked="0" hidden="0"/>
    </xf>
    <xf numFmtId="3" fontId="84" fillId="0" borderId="133" applyAlignment="1" applyProtection="1" pivotButton="0" quotePrefix="0" xfId="416">
      <alignment horizontal="center" vertical="center" wrapText="1"/>
      <protection locked="0" hidden="0"/>
    </xf>
    <xf numFmtId="3" fontId="84" fillId="0" borderId="104" applyAlignment="1" applyProtection="1" pivotButton="0" quotePrefix="0" xfId="416">
      <alignment horizontal="center" vertical="center" wrapText="1"/>
      <protection locked="0" hidden="0"/>
    </xf>
    <xf numFmtId="3" fontId="130" fillId="0" borderId="134" applyProtection="1" pivotButton="0" quotePrefix="0" xfId="415">
      <protection locked="0" hidden="0"/>
    </xf>
    <xf numFmtId="1" fontId="84" fillId="60" borderId="101" applyAlignment="1" applyProtection="1" pivotButton="0" quotePrefix="0" xfId="416">
      <alignment horizontal="left" vertical="center"/>
      <protection locked="0" hidden="0"/>
    </xf>
    <xf numFmtId="3" fontId="157" fillId="0" borderId="0" applyProtection="1" pivotButton="0" quotePrefix="0" xfId="415">
      <protection locked="0" hidden="0"/>
    </xf>
    <xf numFmtId="3" fontId="100" fillId="0" borderId="0" pivotButton="0" quotePrefix="0" xfId="0"/>
    <xf numFmtId="4" fontId="130" fillId="0" borderId="0" applyProtection="1" pivotButton="0" quotePrefix="0" xfId="415">
      <protection locked="0" hidden="0"/>
    </xf>
    <xf numFmtId="0" fontId="102" fillId="0" borderId="0" pivotButton="0" quotePrefix="0" xfId="0"/>
    <xf numFmtId="3" fontId="84" fillId="0" borderId="135" applyAlignment="1" pivotButton="0" quotePrefix="0" xfId="416">
      <alignment vertical="center" wrapText="1"/>
    </xf>
    <xf numFmtId="1" fontId="92" fillId="14" borderId="131" applyAlignment="1" applyProtection="1" pivotButton="0" quotePrefix="0" xfId="416">
      <alignment horizontal="left" vertical="center"/>
      <protection locked="0" hidden="0"/>
    </xf>
    <xf numFmtId="206" fontId="92" fillId="0" borderId="0" applyAlignment="1" applyProtection="1" pivotButton="0" quotePrefix="0" xfId="416">
      <alignment vertical="center" wrapText="1"/>
      <protection locked="0" hidden="0"/>
    </xf>
    <xf numFmtId="1" fontId="84" fillId="0" borderId="0" applyAlignment="1" applyProtection="1" pivotButton="0" quotePrefix="0" xfId="416">
      <alignment horizontal="left" vertical="center"/>
      <protection locked="0" hidden="0"/>
    </xf>
    <xf numFmtId="3" fontId="84" fillId="0" borderId="0" applyAlignment="1" applyProtection="1" pivotButton="0" quotePrefix="0" xfId="416">
      <alignment vertical="center" wrapText="1"/>
      <protection locked="0" hidden="0"/>
    </xf>
    <xf numFmtId="206" fontId="84" fillId="0" borderId="0" applyAlignment="1" applyProtection="1" pivotButton="0" quotePrefix="0" xfId="416">
      <alignment vertical="center" wrapText="1"/>
      <protection locked="0" hidden="0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208" fontId="158" fillId="0" borderId="0" applyAlignment="1" pivotButton="0" quotePrefix="0" xfId="412">
      <alignment horizontal="center"/>
    </xf>
    <xf numFmtId="14" fontId="0" fillId="60" borderId="45" pivotButton="0" quotePrefix="0" xfId="0"/>
    <xf numFmtId="0" fontId="6" fillId="60" borderId="45" pivotButton="0" quotePrefix="0" xfId="0"/>
    <xf numFmtId="14" fontId="0" fillId="60" borderId="0" pivotButton="0" quotePrefix="0" xfId="0"/>
    <xf numFmtId="216" fontId="6" fillId="60" borderId="0" applyAlignment="1" pivotButton="0" quotePrefix="0" xfId="0">
      <alignment horizontal="center"/>
    </xf>
    <xf numFmtId="0" fontId="6" fillId="60" borderId="0" pivotButton="0" quotePrefix="0" xfId="0"/>
    <xf numFmtId="216" fontId="6" fillId="60" borderId="47" applyAlignment="1" pivotButton="0" quotePrefix="0" xfId="0">
      <alignment horizontal="center"/>
    </xf>
    <xf numFmtId="216" fontId="6" fillId="60" borderId="48" applyAlignment="1" pivotButton="0" quotePrefix="0" xfId="0">
      <alignment horizontal="center"/>
    </xf>
    <xf numFmtId="216" fontId="0" fillId="60" borderId="0" pivotButton="0" quotePrefix="0" xfId="0"/>
    <xf numFmtId="216" fontId="0" fillId="60" borderId="47" pivotButton="0" quotePrefix="0" xfId="0"/>
    <xf numFmtId="216" fontId="0" fillId="60" borderId="48" pivotButton="0" quotePrefix="0" xfId="0"/>
    <xf numFmtId="0" fontId="6" fillId="52" borderId="47" pivotButton="0" quotePrefix="0" xfId="0"/>
    <xf numFmtId="14" fontId="6" fillId="52" borderId="0" pivotButton="0" quotePrefix="0" xfId="0"/>
    <xf numFmtId="216" fontId="6" fillId="52" borderId="0" pivotButton="0" quotePrefix="0" xfId="0"/>
    <xf numFmtId="0" fontId="6" fillId="52" borderId="0" pivotButton="0" quotePrefix="0" xfId="0"/>
    <xf numFmtId="216" fontId="6" fillId="52" borderId="47" pivotButton="0" quotePrefix="0" xfId="0"/>
    <xf numFmtId="216" fontId="6" fillId="52" borderId="48" pivotButton="0" quotePrefix="0" xfId="0"/>
    <xf numFmtId="206" fontId="0" fillId="60" borderId="15" pivotButton="0" quotePrefix="0" xfId="0"/>
    <xf numFmtId="0" fontId="6" fillId="14" borderId="47" pivotButton="0" quotePrefix="0" xfId="0"/>
    <xf numFmtId="14" fontId="6" fillId="14" borderId="0" pivotButton="0" quotePrefix="0" xfId="0"/>
    <xf numFmtId="216" fontId="6" fillId="14" borderId="107" pivotButton="0" quotePrefix="0" xfId="0"/>
    <xf numFmtId="206" fontId="6" fillId="14" borderId="107" pivotButton="0" quotePrefix="0" xfId="0"/>
    <xf numFmtId="0" fontId="6" fillId="14" borderId="0" pivotButton="0" quotePrefix="0" xfId="0"/>
    <xf numFmtId="216" fontId="6" fillId="14" borderId="83" pivotButton="0" quotePrefix="0" xfId="0"/>
    <xf numFmtId="206" fontId="6" fillId="14" borderId="84" pivotButton="0" quotePrefix="0" xfId="0"/>
    <xf numFmtId="206" fontId="6" fillId="52" borderId="136" pivotButton="0" quotePrefix="0" xfId="0"/>
    <xf numFmtId="206" fontId="6" fillId="52" borderId="137" pivotButton="0" quotePrefix="0" xfId="0"/>
    <xf numFmtId="0" fontId="6" fillId="60" borderId="47" pivotButton="0" quotePrefix="0" xfId="0"/>
    <xf numFmtId="14" fontId="6" fillId="60" borderId="0" pivotButton="0" quotePrefix="0" xfId="0"/>
    <xf numFmtId="216" fontId="6" fillId="60" borderId="0" pivotButton="0" quotePrefix="0" xfId="0"/>
    <xf numFmtId="216" fontId="6" fillId="60" borderId="47" pivotButton="0" quotePrefix="0" xfId="0"/>
    <xf numFmtId="216" fontId="6" fillId="60" borderId="48" pivotButton="0" quotePrefix="0" xfId="0"/>
    <xf numFmtId="206" fontId="6" fillId="52" borderId="0" pivotButton="0" quotePrefix="0" xfId="0"/>
    <xf numFmtId="206" fontId="6" fillId="52" borderId="48" pivotButton="0" quotePrefix="0" xfId="0"/>
    <xf numFmtId="0" fontId="0" fillId="60" borderId="49" pivotButton="0" quotePrefix="0" xfId="0"/>
    <xf numFmtId="14" fontId="0" fillId="60" borderId="50" pivotButton="0" quotePrefix="0" xfId="0"/>
    <xf numFmtId="216" fontId="0" fillId="60" borderId="50" pivotButton="0" quotePrefix="0" xfId="0"/>
    <xf numFmtId="216" fontId="0" fillId="60" borderId="49" pivotButton="0" quotePrefix="0" xfId="0"/>
    <xf numFmtId="216" fontId="0" fillId="60" borderId="51" pivotButton="0" quotePrefix="0" xfId="0"/>
    <xf numFmtId="0" fontId="133" fillId="60" borderId="0" pivotButton="0" quotePrefix="0" xfId="0"/>
    <xf numFmtId="14" fontId="133" fillId="60" borderId="0" pivotButton="0" quotePrefix="0" xfId="0"/>
    <xf numFmtId="216" fontId="133" fillId="60" borderId="0" pivotButton="0" quotePrefix="0" xfId="0"/>
    <xf numFmtId="206" fontId="133" fillId="60" borderId="0" pivotButton="0" quotePrefix="0" xfId="0"/>
    <xf numFmtId="9" fontId="0" fillId="68" borderId="0" pivotButton="0" quotePrefix="0" xfId="406"/>
    <xf numFmtId="206" fontId="102" fillId="0" borderId="136" pivotButton="0" quotePrefix="0" xfId="412"/>
    <xf numFmtId="206" fontId="92" fillId="0" borderId="139" applyAlignment="1" pivotButton="0" quotePrefix="0" xfId="416">
      <alignment vertical="center" wrapText="1"/>
    </xf>
    <xf numFmtId="208" fontId="100" fillId="0" borderId="0" pivotButton="0" quotePrefix="0" xfId="412"/>
    <xf numFmtId="206" fontId="159" fillId="60" borderId="136" pivotButton="0" quotePrefix="0" xfId="0"/>
    <xf numFmtId="206" fontId="74" fillId="60" borderId="0" pivotButton="0" quotePrefix="0" xfId="0"/>
    <xf numFmtId="9" fontId="0" fillId="69" borderId="13" pivotButton="0" quotePrefix="0" xfId="406"/>
    <xf numFmtId="9" fontId="0" fillId="69" borderId="11" pivotButton="0" quotePrefix="0" xfId="0"/>
    <xf numFmtId="9" fontId="0" fillId="69" borderId="13" pivotButton="0" quotePrefix="0" xfId="0"/>
    <xf numFmtId="9" fontId="0" fillId="0" borderId="13" pivotButton="0" quotePrefix="0" xfId="406"/>
    <xf numFmtId="217" fontId="0" fillId="0" borderId="0" pivotButton="0" quotePrefix="0" xfId="412"/>
    <xf numFmtId="165" fontId="8" fillId="12" borderId="10" pivotButton="0" quotePrefix="0" xfId="1"/>
    <xf numFmtId="166" fontId="13" fillId="0" borderId="140" pivotButton="0" quotePrefix="0" xfId="1"/>
    <xf numFmtId="206" fontId="84" fillId="0" borderId="141" applyAlignment="1" pivotButton="0" quotePrefix="0" xfId="416">
      <alignment vertical="center" wrapText="1"/>
    </xf>
    <xf numFmtId="206" fontId="84" fillId="0" borderId="142" applyAlignment="1" pivotButton="0" quotePrefix="0" xfId="416">
      <alignment vertical="center" wrapText="1"/>
    </xf>
    <xf numFmtId="215" fontId="0" fillId="0" borderId="0" pivotButton="0" quotePrefix="0" xfId="412"/>
    <xf numFmtId="208" fontId="13" fillId="65" borderId="20" pivotButton="0" quotePrefix="0" xfId="412"/>
    <xf numFmtId="172" fontId="15" fillId="0" borderId="0" pivotButton="0" quotePrefix="1" xfId="1"/>
    <xf numFmtId="218" fontId="0" fillId="0" borderId="0" pivotButton="0" quotePrefix="0" xfId="412"/>
    <xf numFmtId="215" fontId="0" fillId="0" borderId="0" pivotButton="0" quotePrefix="0" xfId="0"/>
    <xf numFmtId="9" fontId="0" fillId="55" borderId="0" pivotButton="0" quotePrefix="0" xfId="0"/>
    <xf numFmtId="214" fontId="0" fillId="0" borderId="0" pivotButton="0" quotePrefix="0" xfId="0"/>
    <xf numFmtId="9" fontId="133" fillId="0" borderId="0" pivotButton="0" quotePrefix="0" xfId="0"/>
    <xf numFmtId="0" fontId="0" fillId="0" borderId="15" pivotButton="0" quotePrefix="0" xfId="0"/>
    <xf numFmtId="0" fontId="6" fillId="0" borderId="15" pivotButton="0" quotePrefix="0" xfId="0"/>
    <xf numFmtId="0" fontId="160" fillId="11" borderId="143" applyAlignment="1" pivotButton="0" quotePrefix="0" xfId="0">
      <alignment horizontal="right" wrapText="1" readingOrder="1"/>
    </xf>
    <xf numFmtId="9" fontId="135" fillId="46" borderId="0" pivotButton="0" quotePrefix="0" xfId="0"/>
    <xf numFmtId="0" fontId="133" fillId="0" borderId="15" pivotButton="0" quotePrefix="0" xfId="0"/>
    <xf numFmtId="214" fontId="0" fillId="0" borderId="15" pivotButton="0" quotePrefix="0" xfId="0"/>
    <xf numFmtId="9" fontId="133" fillId="0" borderId="15" pivotButton="0" quotePrefix="0" xfId="0"/>
    <xf numFmtId="0" fontId="80" fillId="11" borderId="0" applyAlignment="1" pivotButton="0" quotePrefix="0" xfId="1">
      <alignment vertical="center"/>
    </xf>
    <xf numFmtId="219" fontId="9" fillId="0" borderId="0" applyAlignment="1" pivotButton="0" quotePrefix="0" xfId="1">
      <alignment horizontal="left" vertical="top"/>
    </xf>
    <xf numFmtId="17" fontId="155" fillId="0" borderId="100" applyAlignment="1" pivotButton="0" quotePrefix="1" xfId="413">
      <alignment horizontal="left"/>
    </xf>
    <xf numFmtId="0" fontId="102" fillId="14" borderId="138" applyAlignment="1" pivotButton="0" quotePrefix="0" xfId="0">
      <alignment horizontal="center" vertical="center" wrapText="1"/>
    </xf>
    <xf numFmtId="0" fontId="102" fillId="14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/>
    </xf>
    <xf numFmtId="216" fontId="6" fillId="60" borderId="45" applyAlignment="1" pivotButton="0" quotePrefix="0" xfId="0">
      <alignment horizontal="center"/>
    </xf>
    <xf numFmtId="216" fontId="6" fillId="60" borderId="44" applyAlignment="1" pivotButton="0" quotePrefix="0" xfId="0">
      <alignment horizontal="center"/>
    </xf>
    <xf numFmtId="216" fontId="6" fillId="60" borderId="46" applyAlignment="1" pivotButton="0" quotePrefix="0" xfId="0">
      <alignment horizontal="center"/>
    </xf>
    <xf numFmtId="0" fontId="128" fillId="0" borderId="0" applyAlignment="1" pivotButton="0" quotePrefix="0" xfId="414">
      <alignment horizontal="left"/>
    </xf>
    <xf numFmtId="219" fontId="9" fillId="0" borderId="0" applyAlignment="1" pivotButton="0" quotePrefix="0" xfId="1">
      <alignment horizontal="left" vertical="top"/>
    </xf>
    <xf numFmtId="183" fontId="81" fillId="0" borderId="0" applyAlignment="1" pivotButton="0" quotePrefix="0" xfId="405">
      <alignment horizontal="left" vertical="center"/>
    </xf>
    <xf numFmtId="183" fontId="8" fillId="0" borderId="0" pivotButton="0" quotePrefix="0" xfId="405"/>
    <xf numFmtId="183" fontId="8" fillId="0" borderId="0" applyAlignment="1" pivotButton="0" quotePrefix="0" xfId="405">
      <alignment vertical="center"/>
    </xf>
    <xf numFmtId="183" fontId="8" fillId="0" borderId="0" applyAlignment="1" pivotButton="0" quotePrefix="0" xfId="404">
      <alignment vertical="center"/>
    </xf>
    <xf numFmtId="183" fontId="81" fillId="0" borderId="0" applyAlignment="1" pivotButton="0" quotePrefix="0" xfId="405">
      <alignment horizontal="center" vertical="center"/>
    </xf>
    <xf numFmtId="215" fontId="0" fillId="0" borderId="0" pivotButton="0" quotePrefix="0" xfId="412"/>
    <xf numFmtId="215" fontId="0" fillId="0" borderId="0" pivotButton="0" quotePrefix="0" xfId="0"/>
    <xf numFmtId="188" fontId="10" fillId="0" borderId="0" applyAlignment="1" pivotButton="0" quotePrefix="0" xfId="1">
      <alignment horizontal="left"/>
    </xf>
    <xf numFmtId="167" fontId="10" fillId="0" borderId="0" applyAlignment="1" pivotButton="0" quotePrefix="0" xfId="1">
      <alignment horizontal="left" indent="1"/>
    </xf>
    <xf numFmtId="181" fontId="9" fillId="14" borderId="7" pivotButton="0" quotePrefix="0" xfId="1"/>
    <xf numFmtId="181" fontId="9" fillId="14" borderId="8" pivotButton="0" quotePrefix="0" xfId="1"/>
    <xf numFmtId="181" fontId="9" fillId="0" borderId="0" pivotButton="0" quotePrefix="0" xfId="1"/>
    <xf numFmtId="204" fontId="9" fillId="14" borderId="10" pivotButton="0" quotePrefix="0" xfId="1"/>
    <xf numFmtId="204" fontId="9" fillId="14" borderId="11" pivotButton="0" quotePrefix="0" xfId="1"/>
    <xf numFmtId="200" fontId="9" fillId="14" borderId="0" pivotButton="0" quotePrefix="0" xfId="1"/>
    <xf numFmtId="200" fontId="9" fillId="14" borderId="13" pivotButton="0" quotePrefix="0" xfId="1"/>
    <xf numFmtId="167" fontId="9" fillId="0" borderId="0" pivotButton="0" quotePrefix="0" xfId="2"/>
    <xf numFmtId="188" fontId="9" fillId="0" borderId="67" applyAlignment="1" pivotButton="0" quotePrefix="0" xfId="1">
      <alignment horizontal="left"/>
    </xf>
    <xf numFmtId="167" fontId="9" fillId="0" borderId="66" applyAlignment="1" pivotButton="0" quotePrefix="0" xfId="1">
      <alignment horizontal="left" indent="1"/>
    </xf>
    <xf numFmtId="209" fontId="9" fillId="0" borderId="17" pivotButton="0" quotePrefix="0" xfId="1"/>
    <xf numFmtId="212" fontId="9" fillId="14" borderId="0" pivotButton="0" quotePrefix="0" xfId="1"/>
    <xf numFmtId="212" fontId="9" fillId="14" borderId="13" pivotButton="0" quotePrefix="0" xfId="1"/>
    <xf numFmtId="167" fontId="9" fillId="0" borderId="0" applyAlignment="1" pivotButton="0" quotePrefix="0" xfId="1">
      <alignment horizontal="left" indent="1"/>
    </xf>
    <xf numFmtId="191" fontId="9" fillId="14" borderId="15" pivotButton="0" quotePrefix="0" xfId="1"/>
    <xf numFmtId="191" fontId="9" fillId="14" borderId="16" pivotButton="0" quotePrefix="0" xfId="1"/>
    <xf numFmtId="166" fontId="9" fillId="0" borderId="0" pivotButton="0" quotePrefix="0" xfId="1"/>
    <xf numFmtId="172" fontId="8" fillId="0" borderId="0" pivotButton="0" quotePrefix="0" xfId="1"/>
    <xf numFmtId="177" fontId="13" fillId="12" borderId="20" applyAlignment="1" pivotButton="0" quotePrefix="0" xfId="1">
      <alignment horizontal="right"/>
    </xf>
    <xf numFmtId="172" fontId="8" fillId="0" borderId="64" applyAlignment="1" pivotButton="0" quotePrefix="0" xfId="1">
      <alignment horizontal="right"/>
    </xf>
    <xf numFmtId="189" fontId="13" fillId="12" borderId="20" pivotButton="0" quotePrefix="0" xfId="1"/>
    <xf numFmtId="190" fontId="14" fillId="0" borderId="0" pivotButton="0" quotePrefix="0" xfId="1"/>
    <xf numFmtId="166" fontId="13" fillId="12" borderId="20" pivotButton="0" quotePrefix="0" xfId="1"/>
    <xf numFmtId="166" fontId="8" fillId="0" borderId="0" pivotButton="0" quotePrefix="0" xfId="1"/>
    <xf numFmtId="190" fontId="8" fillId="0" borderId="0" pivotButton="0" quotePrefix="0" xfId="1"/>
    <xf numFmtId="172" fontId="13" fillId="12" borderId="20" pivotButton="0" quotePrefix="0" xfId="1"/>
    <xf numFmtId="172" fontId="8" fillId="0" borderId="35" applyAlignment="1" pivotButton="0" quotePrefix="0" xfId="1">
      <alignment horizontal="right"/>
    </xf>
    <xf numFmtId="189" fontId="13" fillId="0" borderId="0" pivotButton="0" quotePrefix="0" xfId="1"/>
    <xf numFmtId="166" fontId="13" fillId="0" borderId="0" pivotButton="0" quotePrefix="0" xfId="1"/>
    <xf numFmtId="193" fontId="121" fillId="0" borderId="0" pivotButton="0" quotePrefix="0" xfId="1"/>
    <xf numFmtId="175" fontId="13" fillId="0" borderId="0" pivotButton="0" quotePrefix="0" xfId="1"/>
    <xf numFmtId="166" fontId="13" fillId="0" borderId="34" pivotButton="0" quotePrefix="0" xfId="1"/>
    <xf numFmtId="166" fontId="13" fillId="0" borderId="140" pivotButton="0" quotePrefix="0" xfId="1"/>
    <xf numFmtId="165" fontId="8" fillId="0" borderId="0" pivotButton="0" quotePrefix="0" xfId="1"/>
    <xf numFmtId="165" fontId="12" fillId="0" borderId="0" pivotButton="0" quotePrefix="0" xfId="1"/>
    <xf numFmtId="165" fontId="13" fillId="12" borderId="54" pivotButton="0" quotePrefix="0" xfId="1"/>
    <xf numFmtId="164" fontId="13" fillId="12" borderId="18" pivotButton="0" quotePrefix="0" xfId="0"/>
    <xf numFmtId="190" fontId="13" fillId="12" borderId="20" pivotButton="0" quotePrefix="0" xfId="1"/>
    <xf numFmtId="166" fontId="13" fillId="12" borderId="69" pivotButton="0" quotePrefix="0" xfId="1"/>
    <xf numFmtId="165" fontId="9" fillId="0" borderId="0" pivotButton="0" quotePrefix="0" xfId="1"/>
    <xf numFmtId="165" fontId="13" fillId="12" borderId="20" pivotButton="0" quotePrefix="0" xfId="1"/>
    <xf numFmtId="190" fontId="13" fillId="0" borderId="0" pivotButton="0" quotePrefix="0" xfId="1"/>
    <xf numFmtId="164" fontId="14" fillId="0" borderId="0" pivotButton="0" quotePrefix="0" xfId="0"/>
    <xf numFmtId="190" fontId="13" fillId="12" borderId="54" pivotButton="0" quotePrefix="0" xfId="1"/>
    <xf numFmtId="165" fontId="8" fillId="0" borderId="10" pivotButton="0" quotePrefix="0" xfId="1"/>
    <xf numFmtId="167" fontId="8" fillId="0" borderId="0" pivotButton="0" quotePrefix="0" xfId="1"/>
    <xf numFmtId="167" fontId="13" fillId="12" borderId="20" pivotButton="0" quotePrefix="0" xfId="1"/>
    <xf numFmtId="165" fontId="14" fillId="0" borderId="7" pivotButton="0" quotePrefix="0" xfId="1"/>
    <xf numFmtId="188" fontId="9" fillId="0" borderId="94" applyAlignment="1" pivotButton="0" quotePrefix="0" xfId="1">
      <alignment horizontal="center"/>
    </xf>
    <xf numFmtId="165" fontId="14" fillId="0" borderId="0" pivotButton="0" quotePrefix="0" xfId="1"/>
    <xf numFmtId="165" fontId="8" fillId="12" borderId="10" pivotButton="0" quotePrefix="0" xfId="1"/>
    <xf numFmtId="164" fontId="9" fillId="0" borderId="10" applyAlignment="1" pivotButton="0" quotePrefix="0" xfId="1">
      <alignment horizontal="right" wrapText="1"/>
    </xf>
    <xf numFmtId="164" fontId="9" fillId="0" borderId="78" applyAlignment="1" pivotButton="0" quotePrefix="0" xfId="1">
      <alignment horizontal="right" wrapText="1"/>
    </xf>
    <xf numFmtId="177" fontId="13" fillId="12" borderId="20" pivotButton="0" quotePrefix="0" xfId="1"/>
    <xf numFmtId="191" fontId="13" fillId="12" borderId="20" applyAlignment="1" pivotButton="0" quotePrefix="0" xfId="1">
      <alignment horizontal="right"/>
    </xf>
    <xf numFmtId="190" fontId="8" fillId="0" borderId="10" applyAlignment="1" pivotButton="0" quotePrefix="0" xfId="1">
      <alignment horizontal="right"/>
    </xf>
    <xf numFmtId="190" fontId="13" fillId="12" borderId="69" applyAlignment="1" pivotButton="0" quotePrefix="0" xfId="1">
      <alignment horizontal="right"/>
    </xf>
    <xf numFmtId="191" fontId="13" fillId="12" borderId="71" applyAlignment="1" pivotButton="0" quotePrefix="0" xfId="1">
      <alignment horizontal="right"/>
    </xf>
    <xf numFmtId="190" fontId="8" fillId="0" borderId="74" applyAlignment="1" pivotButton="0" quotePrefix="0" xfId="1">
      <alignment horizontal="right"/>
    </xf>
    <xf numFmtId="190" fontId="8" fillId="0" borderId="0" applyAlignment="1" pivotButton="0" quotePrefix="0" xfId="1">
      <alignment horizontal="right"/>
    </xf>
    <xf numFmtId="191" fontId="8" fillId="0" borderId="0" applyAlignment="1" pivotButton="0" quotePrefix="0" xfId="1">
      <alignment horizontal="right"/>
    </xf>
    <xf numFmtId="190" fontId="8" fillId="0" borderId="9" applyAlignment="1" pivotButton="0" quotePrefix="0" xfId="1">
      <alignment horizontal="right"/>
    </xf>
    <xf numFmtId="177" fontId="8" fillId="0" borderId="10" pivotButton="0" quotePrefix="0" xfId="1"/>
    <xf numFmtId="191" fontId="8" fillId="0" borderId="11" applyAlignment="1" pivotButton="0" quotePrefix="0" xfId="1">
      <alignment horizontal="right"/>
    </xf>
    <xf numFmtId="190" fontId="8" fillId="54" borderId="9" pivotButton="0" quotePrefix="0" xfId="1"/>
    <xf numFmtId="190" fontId="8" fillId="54" borderId="80" pivotButton="0" quotePrefix="0" xfId="1"/>
    <xf numFmtId="190" fontId="8" fillId="54" borderId="78" pivotButton="0" quotePrefix="0" xfId="1"/>
    <xf numFmtId="190" fontId="13" fillId="12" borderId="20" applyAlignment="1" pivotButton="0" quotePrefix="0" xfId="1">
      <alignment horizontal="right"/>
    </xf>
    <xf numFmtId="191" fontId="13" fillId="12" borderId="72" applyAlignment="1" pivotButton="0" quotePrefix="0" xfId="1">
      <alignment horizontal="right"/>
    </xf>
    <xf numFmtId="190" fontId="8" fillId="0" borderId="75" applyAlignment="1" pivotButton="0" quotePrefix="0" xfId="1">
      <alignment horizontal="right"/>
    </xf>
    <xf numFmtId="190" fontId="8" fillId="0" borderId="12" applyAlignment="1" pivotButton="0" quotePrefix="0" xfId="1">
      <alignment horizontal="right"/>
    </xf>
    <xf numFmtId="201" fontId="75" fillId="0" borderId="0" pivotButton="0" quotePrefix="0" xfId="1"/>
    <xf numFmtId="177" fontId="8" fillId="0" borderId="0" pivotButton="0" quotePrefix="0" xfId="1"/>
    <xf numFmtId="191" fontId="8" fillId="0" borderId="13" applyAlignment="1" pivotButton="0" quotePrefix="0" xfId="1">
      <alignment horizontal="right"/>
    </xf>
    <xf numFmtId="190" fontId="8" fillId="54" borderId="0" pivotButton="0" quotePrefix="0" xfId="1"/>
    <xf numFmtId="190" fontId="8" fillId="54" borderId="52" pivotButton="0" quotePrefix="0" xfId="1"/>
    <xf numFmtId="177" fontId="8" fillId="0" borderId="20" pivotButton="0" quotePrefix="0" xfId="1"/>
    <xf numFmtId="191" fontId="13" fillId="0" borderId="54" applyAlignment="1" pivotButton="0" quotePrefix="0" xfId="1">
      <alignment horizontal="right"/>
    </xf>
    <xf numFmtId="190" fontId="13" fillId="0" borderId="54" applyAlignment="1" pivotButton="0" quotePrefix="0" xfId="1">
      <alignment horizontal="right"/>
    </xf>
    <xf numFmtId="191" fontId="13" fillId="0" borderId="73" applyAlignment="1" pivotButton="0" quotePrefix="0" xfId="1">
      <alignment horizontal="right"/>
    </xf>
    <xf numFmtId="190" fontId="8" fillId="0" borderId="76" applyAlignment="1" pivotButton="0" quotePrefix="0" xfId="1">
      <alignment horizontal="right"/>
    </xf>
    <xf numFmtId="190" fontId="8" fillId="58" borderId="52" pivotButton="0" quotePrefix="0" xfId="1"/>
    <xf numFmtId="190" fontId="8" fillId="58" borderId="0" pivotButton="0" quotePrefix="0" xfId="1"/>
    <xf numFmtId="190" fontId="9" fillId="0" borderId="10" pivotButton="0" quotePrefix="0" xfId="1"/>
    <xf numFmtId="190" fontId="9" fillId="0" borderId="10" applyAlignment="1" pivotButton="0" quotePrefix="0" xfId="1">
      <alignment horizontal="right"/>
    </xf>
    <xf numFmtId="190" fontId="9" fillId="0" borderId="9" applyAlignment="1" pivotButton="0" quotePrefix="0" xfId="1">
      <alignment horizontal="right"/>
    </xf>
    <xf numFmtId="177" fontId="9" fillId="0" borderId="10" pivotButton="0" quotePrefix="0" xfId="1"/>
    <xf numFmtId="191" fontId="9" fillId="0" borderId="11" applyAlignment="1" pivotButton="0" quotePrefix="0" xfId="1">
      <alignment horizontal="right"/>
    </xf>
    <xf numFmtId="190" fontId="9" fillId="54" borderId="9" pivotButton="0" quotePrefix="0" xfId="1"/>
    <xf numFmtId="190" fontId="9" fillId="54" borderId="80" pivotButton="0" quotePrefix="0" xfId="1"/>
    <xf numFmtId="190" fontId="9" fillId="54" borderId="78" pivotButton="0" quotePrefix="0" xfId="1"/>
    <xf numFmtId="172" fontId="15" fillId="0" borderId="0" pivotButton="0" quotePrefix="0" xfId="1"/>
    <xf numFmtId="202" fontId="15" fillId="0" borderId="0" pivotButton="0" quotePrefix="0" xfId="1"/>
    <xf numFmtId="190" fontId="8" fillId="0" borderId="52" applyAlignment="1" pivotButton="0" quotePrefix="0" xfId="1">
      <alignment horizontal="right"/>
    </xf>
    <xf numFmtId="192" fontId="107" fillId="0" borderId="0" pivotButton="0" quotePrefix="0" xfId="1"/>
    <xf numFmtId="172" fontId="75" fillId="0" borderId="0" pivotButton="0" quotePrefix="0" xfId="1"/>
    <xf numFmtId="166" fontId="9" fillId="0" borderId="10" pivotButton="0" quotePrefix="0" xfId="1"/>
    <xf numFmtId="190" fontId="9" fillId="0" borderId="9" pivotButton="0" quotePrefix="0" xfId="1"/>
    <xf numFmtId="190" fontId="9" fillId="0" borderId="7" applyAlignment="1" pivotButton="0" quotePrefix="0" xfId="1">
      <alignment horizontal="right"/>
    </xf>
    <xf numFmtId="191" fontId="9" fillId="0" borderId="8" applyAlignment="1" pivotButton="0" quotePrefix="0" xfId="1">
      <alignment horizontal="right"/>
    </xf>
    <xf numFmtId="190" fontId="9" fillId="0" borderId="77" applyAlignment="1" pivotButton="0" quotePrefix="0" xfId="1">
      <alignment horizontal="right"/>
    </xf>
    <xf numFmtId="190" fontId="9" fillId="0" borderId="0" applyAlignment="1" pivotButton="0" quotePrefix="0" xfId="1">
      <alignment horizontal="right"/>
    </xf>
    <xf numFmtId="191" fontId="9" fillId="0" borderId="13" applyAlignment="1" pivotButton="0" quotePrefix="0" xfId="1">
      <alignment horizontal="right"/>
    </xf>
    <xf numFmtId="190" fontId="9" fillId="0" borderId="52" applyAlignment="1" pivotButton="0" quotePrefix="0" xfId="1">
      <alignment horizontal="right"/>
    </xf>
    <xf numFmtId="190" fontId="9" fillId="0" borderId="79" applyAlignment="1" pivotButton="0" quotePrefix="0" xfId="1">
      <alignment horizontal="right"/>
    </xf>
    <xf numFmtId="190" fontId="9" fillId="0" borderId="0" pivotButton="0" quotePrefix="0" xfId="1"/>
    <xf numFmtId="203" fontId="9" fillId="0" borderId="0" pivotButton="0" quotePrefix="0" xfId="1"/>
    <xf numFmtId="190" fontId="9" fillId="0" borderId="78" applyAlignment="1" pivotButton="0" quotePrefix="0" xfId="1">
      <alignment horizontal="right"/>
    </xf>
    <xf numFmtId="190" fontId="9" fillId="0" borderId="11" applyAlignment="1" pivotButton="0" quotePrefix="0" xfId="1">
      <alignment horizontal="right"/>
    </xf>
    <xf numFmtId="191" fontId="15" fillId="0" borderId="0" applyAlignment="1" pivotButton="0" quotePrefix="0" xfId="1">
      <alignment horizontal="right"/>
    </xf>
    <xf numFmtId="193" fontId="15" fillId="0" borderId="0" applyAlignment="1" pivotButton="0" quotePrefix="0" xfId="1">
      <alignment horizontal="right"/>
    </xf>
    <xf numFmtId="193" fontId="15" fillId="0" borderId="52" applyAlignment="1" pivotButton="0" quotePrefix="0" xfId="1">
      <alignment horizontal="right"/>
    </xf>
    <xf numFmtId="193" fontId="15" fillId="0" borderId="13" applyAlignment="1" pivotButton="0" quotePrefix="0" xfId="1">
      <alignment horizontal="right"/>
    </xf>
    <xf numFmtId="191" fontId="8" fillId="0" borderId="15" applyAlignment="1" pivotButton="0" quotePrefix="0" xfId="1">
      <alignment horizontal="right"/>
    </xf>
    <xf numFmtId="191" fontId="8" fillId="0" borderId="10" applyAlignment="1" pivotButton="0" quotePrefix="0" xfId="1">
      <alignment horizontal="right"/>
    </xf>
    <xf numFmtId="166" fontId="8" fillId="0" borderId="10" applyAlignment="1" pivotButton="0" quotePrefix="0" xfId="1">
      <alignment horizontal="right"/>
    </xf>
    <xf numFmtId="166" fontId="8" fillId="0" borderId="11" applyAlignment="1" pivotButton="0" quotePrefix="0" xfId="1">
      <alignment horizontal="right"/>
    </xf>
    <xf numFmtId="166" fontId="8" fillId="0" borderId="0" applyAlignment="1" pivotButton="0" quotePrefix="0" xfId="1">
      <alignment horizontal="right"/>
    </xf>
    <xf numFmtId="166" fontId="8" fillId="0" borderId="13" applyAlignment="1" pivotButton="0" quotePrefix="0" xfId="1">
      <alignment horizontal="right"/>
    </xf>
    <xf numFmtId="166" fontId="8" fillId="0" borderId="15" pivotButton="0" quotePrefix="0" xfId="1"/>
    <xf numFmtId="166" fontId="8" fillId="0" borderId="16" pivotButton="0" quotePrefix="0" xfId="1"/>
    <xf numFmtId="203" fontId="118" fillId="11" borderId="0" pivotButton="0" quotePrefix="0" xfId="1"/>
    <xf numFmtId="190" fontId="119" fillId="0" borderId="0" pivotButton="0" quotePrefix="0" xfId="1"/>
    <xf numFmtId="194" fontId="107" fillId="0" borderId="0" applyAlignment="1" pivotButton="0" quotePrefix="0" xfId="1">
      <alignment horizontal="right"/>
    </xf>
    <xf numFmtId="194" fontId="112" fillId="0" borderId="0" applyAlignment="1" pivotButton="0" quotePrefix="0" xfId="1">
      <alignment horizontal="right"/>
    </xf>
    <xf numFmtId="194" fontId="112" fillId="0" borderId="0" pivotButton="0" quotePrefix="0" xfId="1"/>
    <xf numFmtId="172" fontId="12" fillId="0" borderId="0" pivotButton="0" quotePrefix="0" xfId="1"/>
    <xf numFmtId="167" fontId="15" fillId="0" borderId="0" pivotButton="0" quotePrefix="0" xfId="1"/>
    <xf numFmtId="172" fontId="9" fillId="0" borderId="0" pivotButton="0" quotePrefix="0" xfId="1"/>
    <xf numFmtId="171" fontId="8" fillId="0" borderId="0" pivotButton="0" quotePrefix="0" xfId="1"/>
    <xf numFmtId="172" fontId="8" fillId="0" borderId="10" pivotButton="0" quotePrefix="0" xfId="1"/>
    <xf numFmtId="172" fontId="12" fillId="14" borderId="7" pivotButton="0" quotePrefix="0" xfId="1"/>
    <xf numFmtId="177" fontId="121" fillId="0" borderId="0" applyAlignment="1" pivotButton="0" quotePrefix="0" xfId="1">
      <alignment horizontal="right"/>
    </xf>
    <xf numFmtId="190" fontId="111" fillId="0" borderId="0" pivotButton="0" quotePrefix="0" xfId="1"/>
    <xf numFmtId="177" fontId="13" fillId="0" borderId="0" applyAlignment="1" pivotButton="0" quotePrefix="0" xfId="1">
      <alignment horizontal="right"/>
    </xf>
    <xf numFmtId="164" fontId="12" fillId="0" borderId="0" pivotButton="0" quotePrefix="0" xfId="1"/>
    <xf numFmtId="172" fontId="13" fillId="12" borderId="20" applyAlignment="1" pivotButton="0" quotePrefix="0" xfId="1">
      <alignment horizontal="right"/>
    </xf>
    <xf numFmtId="189" fontId="13" fillId="12" borderId="20" applyAlignment="1" pivotButton="0" quotePrefix="0" xfId="1">
      <alignment horizontal="right"/>
    </xf>
    <xf numFmtId="165" fontId="8" fillId="0" borderId="0" applyAlignment="1" pivotButton="0" quotePrefix="0" xfId="1">
      <alignment horizontal="right"/>
    </xf>
    <xf numFmtId="166" fontId="13" fillId="12" borderId="20" applyAlignment="1" pivotButton="0" quotePrefix="0" xfId="1">
      <alignment horizontal="right"/>
    </xf>
    <xf numFmtId="205" fontId="8" fillId="0" borderId="0" pivotButton="0" quotePrefix="0" xfId="1"/>
    <xf numFmtId="164" fontId="14" fillId="0" borderId="0" pivotButton="0" quotePrefix="0" xfId="1"/>
    <xf numFmtId="164" fontId="12" fillId="0" borderId="0" applyAlignment="1" pivotButton="0" quotePrefix="0" xfId="1">
      <alignment horizontal="right"/>
    </xf>
    <xf numFmtId="190" fontId="8" fillId="0" borderId="71" applyAlignment="1" pivotButton="0" quotePrefix="0" xfId="1">
      <alignment horizontal="right"/>
    </xf>
    <xf numFmtId="190" fontId="8" fillId="0" borderId="20" applyAlignment="1" pivotButton="0" quotePrefix="0" xfId="1">
      <alignment horizontal="right"/>
    </xf>
    <xf numFmtId="164" fontId="110" fillId="0" borderId="0" pivotButton="0" quotePrefix="0" xfId="1"/>
    <xf numFmtId="166" fontId="12" fillId="0" borderId="0" pivotButton="0" quotePrefix="0" xfId="1"/>
    <xf numFmtId="168" fontId="8" fillId="0" borderId="87" pivotButton="0" quotePrefix="0" xfId="1"/>
    <xf numFmtId="164" fontId="12" fillId="10" borderId="0" pivotButton="0" quotePrefix="0" xfId="1"/>
    <xf numFmtId="164" fontId="12" fillId="59" borderId="0" pivotButton="0" quotePrefix="0" xfId="1"/>
    <xf numFmtId="164" fontId="12" fillId="10" borderId="87" pivotButton="0" quotePrefix="0" xfId="1"/>
    <xf numFmtId="165" fontId="13" fillId="12" borderId="70" pivotButton="0" quotePrefix="0" xfId="1"/>
    <xf numFmtId="169" fontId="8" fillId="0" borderId="87" pivotButton="0" quotePrefix="0" xfId="1"/>
    <xf numFmtId="169" fontId="8" fillId="0" borderId="0" pivotButton="0" quotePrefix="0" xfId="1"/>
    <xf numFmtId="166" fontId="15" fillId="0" borderId="0" pivotButton="0" quotePrefix="0" xfId="3"/>
    <xf numFmtId="166" fontId="13" fillId="12" borderId="35" applyAlignment="1" pivotButton="0" quotePrefix="0" xfId="1">
      <alignment horizontal="right"/>
    </xf>
    <xf numFmtId="172" fontId="9" fillId="14" borderId="0" pivotButton="0" quotePrefix="0" xfId="1"/>
    <xf numFmtId="172" fontId="9" fillId="14" borderId="87" pivotButton="0" quotePrefix="0" xfId="1"/>
    <xf numFmtId="166" fontId="15" fillId="0" borderId="87" pivotButton="0" quotePrefix="0" xfId="3"/>
    <xf numFmtId="166" fontId="15" fillId="0" borderId="87" applyAlignment="1" pivotButton="0" quotePrefix="0" xfId="3">
      <alignment horizontal="right"/>
    </xf>
    <xf numFmtId="210" fontId="8" fillId="0" borderId="0" pivotButton="0" quotePrefix="0" xfId="412"/>
    <xf numFmtId="172" fontId="8" fillId="0" borderId="87" pivotButton="0" quotePrefix="0" xfId="1"/>
    <xf numFmtId="165" fontId="15" fillId="0" borderId="0" pivotButton="0" quotePrefix="0" xfId="1"/>
    <xf numFmtId="165" fontId="13" fillId="12" borderId="35" pivotButton="0" quotePrefix="0" xfId="1"/>
    <xf numFmtId="211" fontId="8" fillId="0" borderId="0" pivotButton="0" quotePrefix="0" xfId="1"/>
    <xf numFmtId="208" fontId="13" fillId="12" borderId="20" pivotButton="0" quotePrefix="0" xfId="412"/>
    <xf numFmtId="208" fontId="13" fillId="65" borderId="20" pivotButton="0" quotePrefix="0" xfId="412"/>
    <xf numFmtId="172" fontId="15" fillId="0" borderId="0" pivotButton="0" quotePrefix="1" xfId="1"/>
    <xf numFmtId="172" fontId="8" fillId="65" borderId="0" pivotButton="0" quotePrefix="0" xfId="1"/>
    <xf numFmtId="172" fontId="9" fillId="0" borderId="87" pivotButton="0" quotePrefix="0" xfId="1"/>
    <xf numFmtId="172" fontId="12" fillId="14" borderId="0" pivotButton="0" quotePrefix="0" xfId="1"/>
    <xf numFmtId="172" fontId="12" fillId="14" borderId="87" pivotButton="0" quotePrefix="0" xfId="1"/>
    <xf numFmtId="172" fontId="12" fillId="0" borderId="87" pivotButton="0" quotePrefix="0" xfId="1"/>
    <xf numFmtId="172" fontId="14" fillId="0" borderId="87" pivotButton="0" quotePrefix="0" xfId="1"/>
    <xf numFmtId="172" fontId="14" fillId="0" borderId="0" pivotButton="0" quotePrefix="0" xfId="1"/>
    <xf numFmtId="172" fontId="14" fillId="0" borderId="88" pivotButton="0" quotePrefix="0" xfId="1"/>
    <xf numFmtId="172" fontId="14" fillId="0" borderId="20" pivotButton="0" quotePrefix="0" xfId="1"/>
    <xf numFmtId="172" fontId="14" fillId="0" borderId="93" pivotButton="0" quotePrefix="0" xfId="1"/>
    <xf numFmtId="172" fontId="14" fillId="0" borderId="10" pivotButton="0" quotePrefix="0" xfId="1"/>
    <xf numFmtId="172" fontId="15" fillId="0" borderId="87" pivotButton="0" quotePrefix="0" xfId="1"/>
    <xf numFmtId="172" fontId="8" fillId="0" borderId="13" pivotButton="0" quotePrefix="0" xfId="1"/>
    <xf numFmtId="172" fontId="8" fillId="0" borderId="15" pivotButton="0" quotePrefix="0" xfId="1"/>
    <xf numFmtId="172" fontId="8" fillId="0" borderId="88" pivotButton="0" quotePrefix="0" xfId="1"/>
    <xf numFmtId="172" fontId="8" fillId="0" borderId="16" pivotButton="0" quotePrefix="0" xfId="1"/>
    <xf numFmtId="172" fontId="9" fillId="14" borderId="7" pivotButton="0" quotePrefix="0" xfId="1"/>
    <xf numFmtId="172" fontId="9" fillId="14" borderId="90" pivotButton="0" quotePrefix="0" xfId="1"/>
    <xf numFmtId="172" fontId="9" fillId="14" borderId="8" pivotButton="0" quotePrefix="0" xfId="1"/>
    <xf numFmtId="172" fontId="9" fillId="14" borderId="15" pivotButton="0" quotePrefix="0" xfId="1"/>
    <xf numFmtId="172" fontId="9" fillId="14" borderId="88" pivotButton="0" quotePrefix="0" xfId="1"/>
    <xf numFmtId="172" fontId="9" fillId="14" borderId="16" pivotButton="0" quotePrefix="0" xfId="1"/>
    <xf numFmtId="170" fontId="8" fillId="0" borderId="15" pivotButton="0" quotePrefix="0" xfId="1"/>
    <xf numFmtId="170" fontId="8" fillId="0" borderId="0" pivotButton="0" quotePrefix="0" xfId="1"/>
    <xf numFmtId="172" fontId="13" fillId="0" borderId="0" pivotButton="0" quotePrefix="0" xfId="1"/>
    <xf numFmtId="178" fontId="12" fillId="0" borderId="15" pivotButton="0" quotePrefix="0" xfId="1"/>
    <xf numFmtId="166" fontId="13" fillId="12" borderId="91" pivotButton="0" quotePrefix="0" xfId="1"/>
    <xf numFmtId="166" fontId="13" fillId="12" borderId="35" pivotButton="0" quotePrefix="0" xfId="1"/>
    <xf numFmtId="169" fontId="8" fillId="0" borderId="88" pivotButton="0" quotePrefix="0" xfId="1"/>
    <xf numFmtId="169" fontId="8" fillId="0" borderId="15" pivotButton="0" quotePrefix="0" xfId="1"/>
    <xf numFmtId="165" fontId="13" fillId="0" borderId="0" pivotButton="0" quotePrefix="0" xfId="1"/>
    <xf numFmtId="189" fontId="8" fillId="0" borderId="70" pivotButton="0" quotePrefix="0" xfId="1"/>
    <xf numFmtId="172" fontId="14" fillId="12" borderId="87" pivotButton="0" quotePrefix="0" xfId="1"/>
    <xf numFmtId="166" fontId="16" fillId="0" borderId="0" pivotButton="0" quotePrefix="0" xfId="1"/>
    <xf numFmtId="169" fontId="8" fillId="0" borderId="10" pivotButton="0" quotePrefix="0" xfId="1"/>
    <xf numFmtId="172" fontId="9" fillId="0" borderId="89" pivotButton="0" quotePrefix="0" xfId="1"/>
    <xf numFmtId="172" fontId="9" fillId="0" borderId="10" pivotButton="0" quotePrefix="0" xfId="1"/>
    <xf numFmtId="164" fontId="12" fillId="10" borderId="0" applyAlignment="1" pivotButton="0" quotePrefix="0" xfId="1">
      <alignment horizontal="right"/>
    </xf>
    <xf numFmtId="165" fontId="8" fillId="0" borderId="88" pivotButton="0" quotePrefix="0" xfId="1"/>
    <xf numFmtId="165" fontId="8" fillId="0" borderId="15" pivotButton="0" quotePrefix="0" xfId="1"/>
    <xf numFmtId="167" fontId="14" fillId="0" borderId="0" pivotButton="0" quotePrefix="0" xfId="1"/>
    <xf numFmtId="167" fontId="14" fillId="0" borderId="87" pivotButton="0" quotePrefix="0" xfId="1"/>
    <xf numFmtId="172" fontId="8" fillId="0" borderId="89" pivotButton="0" quotePrefix="0" xfId="1"/>
    <xf numFmtId="167" fontId="12" fillId="46" borderId="92" pivotButton="0" quotePrefix="0" xfId="1"/>
    <xf numFmtId="167" fontId="12" fillId="46" borderId="37" pivotButton="0" quotePrefix="0" xfId="1"/>
    <xf numFmtId="167" fontId="12" fillId="46" borderId="38" pivotButton="0" quotePrefix="0" xfId="1"/>
    <xf numFmtId="169" fontId="9" fillId="46" borderId="87" pivotButton="0" quotePrefix="0" xfId="1"/>
    <xf numFmtId="169" fontId="9" fillId="46" borderId="0" pivotButton="0" quotePrefix="0" xfId="1"/>
    <xf numFmtId="169" fontId="9" fillId="46" borderId="40" pivotButton="0" quotePrefix="0" xfId="1"/>
    <xf numFmtId="182" fontId="9" fillId="46" borderId="86" applyAlignment="1" pivotButton="0" quotePrefix="0" xfId="1">
      <alignment horizontal="right"/>
    </xf>
    <xf numFmtId="182" fontId="9" fillId="46" borderId="42" applyAlignment="1" pivotButton="0" quotePrefix="0" xfId="1">
      <alignment horizontal="right"/>
    </xf>
    <xf numFmtId="182" fontId="9" fillId="46" borderId="43" applyAlignment="1" pivotButton="0" quotePrefix="0" xfId="1">
      <alignment horizontal="right"/>
    </xf>
    <xf numFmtId="182" fontId="8" fillId="0" borderId="0" pivotButton="0" quotePrefix="0" xfId="1"/>
    <xf numFmtId="172" fontId="8" fillId="0" borderId="18" pivotButton="0" quotePrefix="0" xfId="1"/>
    <xf numFmtId="172" fontId="8" fillId="0" borderId="95" pivotButton="0" quotePrefix="0" xfId="1"/>
    <xf numFmtId="172" fontId="8" fillId="0" borderId="81" pivotButton="0" quotePrefix="0" xfId="1"/>
    <xf numFmtId="167" fontId="12" fillId="46" borderId="96" pivotButton="0" quotePrefix="0" xfId="1"/>
    <xf numFmtId="169" fontId="9" fillId="46" borderId="18" pivotButton="0" quotePrefix="0" xfId="1"/>
    <xf numFmtId="182" fontId="9" fillId="46" borderId="97" applyAlignment="1" pivotButton="0" quotePrefix="0" xfId="1">
      <alignment horizontal="right"/>
    </xf>
    <xf numFmtId="169" fontId="8" fillId="0" borderId="98" pivotButton="0" quotePrefix="0" xfId="1"/>
    <xf numFmtId="172" fontId="8" fillId="0" borderId="99" pivotButton="0" quotePrefix="0" xfId="1"/>
    <xf numFmtId="198" fontId="12" fillId="46" borderId="96" pivotButton="0" quotePrefix="0" xfId="1"/>
    <xf numFmtId="198" fontId="12" fillId="46" borderId="37" pivotButton="0" quotePrefix="0" xfId="1"/>
    <xf numFmtId="198" fontId="12" fillId="46" borderId="38" pivotButton="0" quotePrefix="0" xfId="1"/>
    <xf numFmtId="182" fontId="8" fillId="0" borderId="0" applyAlignment="1" pivotButton="0" quotePrefix="0" xfId="1">
      <alignment horizontal="right"/>
    </xf>
    <xf numFmtId="182" fontId="8" fillId="0" borderId="18" applyAlignment="1" pivotButton="0" quotePrefix="0" xfId="1">
      <alignment horizontal="right"/>
    </xf>
    <xf numFmtId="172" fontId="8" fillId="0" borderId="0" applyAlignment="1" pivotButton="0" quotePrefix="0" xfId="1">
      <alignment horizontal="right"/>
    </xf>
    <xf numFmtId="167" fontId="14" fillId="0" borderId="0" applyAlignment="1" pivotButton="0" quotePrefix="0" xfId="1">
      <alignment horizontal="right"/>
    </xf>
    <xf numFmtId="164" fontId="8" fillId="0" borderId="0" pivotButton="0" quotePrefix="0" xfId="1"/>
    <xf numFmtId="198" fontId="12" fillId="46" borderId="96" applyAlignment="1" pivotButton="0" quotePrefix="0" xfId="1">
      <alignment horizontal="right"/>
    </xf>
    <xf numFmtId="198" fontId="12" fillId="46" borderId="37" applyAlignment="1" pivotButton="0" quotePrefix="0" xfId="1">
      <alignment horizontal="right"/>
    </xf>
    <xf numFmtId="198" fontId="12" fillId="46" borderId="38" applyAlignment="1" pivotButton="0" quotePrefix="0" xfId="1">
      <alignment horizontal="right"/>
    </xf>
    <xf numFmtId="164" fontId="15" fillId="0" borderId="0" pivotButton="0" quotePrefix="0" xfId="1"/>
    <xf numFmtId="166" fontId="15" fillId="0" borderId="0" pivotButton="0" quotePrefix="0" xfId="1"/>
    <xf numFmtId="165" fontId="12" fillId="0" borderId="0" pivotButton="0" quotePrefix="0" xfId="0"/>
    <xf numFmtId="181" fontId="12" fillId="10" borderId="0" applyAlignment="1" pivotButton="0" quotePrefix="0" xfId="0">
      <alignment horizontal="centerContinuous"/>
    </xf>
    <xf numFmtId="172" fontId="12" fillId="10" borderId="0" applyAlignment="1" pivotButton="0" quotePrefix="0" xfId="0">
      <alignment horizontal="centerContinuous"/>
    </xf>
    <xf numFmtId="181" fontId="12" fillId="0" borderId="0" applyAlignment="1" pivotButton="0" quotePrefix="0" xfId="0">
      <alignment horizontal="centerContinuous"/>
    </xf>
    <xf numFmtId="172" fontId="12" fillId="0" borderId="0" applyAlignment="1" pivotButton="0" quotePrefix="0" xfId="0">
      <alignment horizontal="centerContinuous"/>
    </xf>
    <xf numFmtId="172" fontId="14" fillId="0" borderId="0" applyAlignment="1" pivotButton="0" quotePrefix="0" xfId="0">
      <alignment horizontal="right"/>
    </xf>
    <xf numFmtId="167" fontId="12" fillId="14" borderId="7" pivotButton="0" quotePrefix="0" xfId="0"/>
    <xf numFmtId="167" fontId="12" fillId="14" borderId="6" pivotButton="0" quotePrefix="0" xfId="0"/>
    <xf numFmtId="180" fontId="12" fillId="14" borderId="7" pivotButton="0" quotePrefix="0" xfId="0"/>
    <xf numFmtId="166" fontId="12" fillId="14" borderId="7" pivotButton="0" quotePrefix="0" xfId="0"/>
    <xf numFmtId="167" fontId="14" fillId="0" borderId="0" pivotButton="0" quotePrefix="0" xfId="0"/>
    <xf numFmtId="167" fontId="14" fillId="0" borderId="12" applyAlignment="1" pivotButton="0" quotePrefix="0" xfId="0">
      <alignment horizontal="right"/>
    </xf>
    <xf numFmtId="180" fontId="14" fillId="0" borderId="0" pivotButton="0" quotePrefix="0" xfId="0"/>
    <xf numFmtId="166" fontId="14" fillId="0" borderId="0" pivotButton="0" quotePrefix="0" xfId="0"/>
    <xf numFmtId="172" fontId="12" fillId="0" borderId="0" applyAlignment="1" pivotButton="0" quotePrefix="0" xfId="0">
      <alignment horizontal="right"/>
    </xf>
    <xf numFmtId="164" fontId="12" fillId="13" borderId="0" pivotButton="0" quotePrefix="0" xfId="1"/>
    <xf numFmtId="173" fontId="14" fillId="0" borderId="0" pivotButton="0" quotePrefix="0" xfId="0"/>
    <xf numFmtId="173" fontId="0" fillId="0" borderId="0" pivotButton="0" quotePrefix="0" xfId="0"/>
    <xf numFmtId="173" fontId="14" fillId="0" borderId="0" pivotButton="0" quotePrefix="0" xfId="4"/>
    <xf numFmtId="173" fontId="1" fillId="0" borderId="0" pivotButton="0" quotePrefix="0" xfId="4"/>
    <xf numFmtId="173" fontId="14" fillId="0" borderId="0" applyAlignment="1" pivotButton="0" quotePrefix="0" xfId="4">
      <alignment horizontal="right"/>
    </xf>
    <xf numFmtId="173" fontId="8" fillId="0" borderId="0" pivotButton="0" quotePrefix="0" xfId="282"/>
    <xf numFmtId="173" fontId="62" fillId="0" borderId="0" pivotButton="0" quotePrefix="0" xfId="282"/>
    <xf numFmtId="174" fontId="14" fillId="0" borderId="7" pivotButton="0" quotePrefix="0" xfId="0"/>
    <xf numFmtId="174" fontId="6" fillId="0" borderId="0" pivotButton="0" quotePrefix="0" xfId="0"/>
    <xf numFmtId="173" fontId="16" fillId="0" borderId="0" applyAlignment="1" pivotButton="0" quotePrefix="0" xfId="0">
      <alignment horizontal="right"/>
    </xf>
    <xf numFmtId="166" fontId="75" fillId="0" borderId="0" applyAlignment="1" pivotButton="0" quotePrefix="0" xfId="4">
      <alignment horizontal="left"/>
    </xf>
    <xf numFmtId="176" fontId="14" fillId="0" borderId="0" pivotButton="0" quotePrefix="0" xfId="0"/>
    <xf numFmtId="176" fontId="14" fillId="0" borderId="0" applyAlignment="1" pivotButton="0" quotePrefix="0" xfId="0">
      <alignment horizontal="right"/>
    </xf>
    <xf numFmtId="176" fontId="14" fillId="0" borderId="0" pivotButton="0" quotePrefix="0" xfId="4"/>
    <xf numFmtId="176" fontId="14" fillId="0" borderId="7" pivotButton="0" quotePrefix="0" xfId="0"/>
    <xf numFmtId="199" fontId="82" fillId="0" borderId="0" applyAlignment="1" pivotButton="0" quotePrefix="0" xfId="0">
      <alignment horizontal="right"/>
    </xf>
    <xf numFmtId="179" fontId="8" fillId="0" borderId="0" pivotButton="0" quotePrefix="0" xfId="1"/>
    <xf numFmtId="164" fontId="13" fillId="12" borderId="20" pivotButton="0" quotePrefix="0" xfId="0"/>
    <xf numFmtId="173" fontId="14" fillId="0" borderId="15" pivotButton="0" quotePrefix="0" xfId="4"/>
    <xf numFmtId="173" fontId="12" fillId="0" borderId="0" pivotButton="0" quotePrefix="0" xfId="4"/>
    <xf numFmtId="200" fontId="14" fillId="0" borderId="0" pivotButton="0" quotePrefix="0" xfId="4"/>
    <xf numFmtId="200" fontId="14" fillId="0" borderId="15" pivotButton="0" quotePrefix="0" xfId="4"/>
    <xf numFmtId="184" fontId="33" fillId="50" borderId="0" applyAlignment="1" pivotButton="0" quotePrefix="0" xfId="0">
      <alignment vertical="center"/>
    </xf>
    <xf numFmtId="167" fontId="33" fillId="50" borderId="0" pivotButton="0" quotePrefix="0" xfId="1"/>
    <xf numFmtId="167" fontId="86" fillId="50" borderId="0" pivotButton="0" quotePrefix="0" xfId="1"/>
    <xf numFmtId="167" fontId="122" fillId="12" borderId="20" pivotButton="0" quotePrefix="0" xfId="1"/>
    <xf numFmtId="167" fontId="85" fillId="0" borderId="0" pivotButton="0" quotePrefix="0" xfId="1"/>
    <xf numFmtId="184" fontId="85" fillId="0" borderId="0" applyAlignment="1" pivotButton="0" quotePrefix="0" xfId="0">
      <alignment vertical="center"/>
    </xf>
    <xf numFmtId="167" fontId="85" fillId="49" borderId="0" pivotButton="0" quotePrefix="0" xfId="1"/>
    <xf numFmtId="184" fontId="85" fillId="49" borderId="0" applyAlignment="1" pivotButton="0" quotePrefix="0" xfId="0">
      <alignment vertical="center"/>
    </xf>
    <xf numFmtId="167" fontId="85" fillId="10" borderId="0" pivotButton="0" quotePrefix="0" xfId="1"/>
    <xf numFmtId="184" fontId="85" fillId="10" borderId="0" applyAlignment="1" pivotButton="0" quotePrefix="0" xfId="0">
      <alignment vertical="center"/>
    </xf>
    <xf numFmtId="168" fontId="8" fillId="0" borderId="21" pivotButton="0" quotePrefix="0" xfId="1"/>
    <xf numFmtId="164" fontId="12" fillId="13" borderId="22" pivotButton="0" quotePrefix="0" xfId="1"/>
    <xf numFmtId="172" fontId="14" fillId="0" borderId="33" applyAlignment="1" pivotButton="0" quotePrefix="0" xfId="0">
      <alignment horizontal="right"/>
    </xf>
    <xf numFmtId="172" fontId="14" fillId="0" borderId="22" applyAlignment="1" pivotButton="0" quotePrefix="0" xfId="0">
      <alignment horizontal="right"/>
    </xf>
    <xf numFmtId="166" fontId="14" fillId="0" borderId="10" pivotButton="0" quotePrefix="0" xfId="0"/>
    <xf numFmtId="166" fontId="8" fillId="0" borderId="10" pivotButton="0" quotePrefix="0" xfId="1"/>
    <xf numFmtId="166" fontId="14" fillId="0" borderId="33" pivotButton="0" quotePrefix="0" xfId="0"/>
    <xf numFmtId="182" fontId="14" fillId="0" borderId="10" pivotButton="0" quotePrefix="0" xfId="0"/>
    <xf numFmtId="182" fontId="14" fillId="0" borderId="0" pivotButton="0" quotePrefix="0" xfId="0"/>
    <xf numFmtId="189" fontId="14" fillId="0" borderId="0" pivotButton="0" quotePrefix="0" xfId="0"/>
    <xf numFmtId="166" fontId="14" fillId="0" borderId="22" pivotButton="0" quotePrefix="0" xfId="0"/>
    <xf numFmtId="189" fontId="14" fillId="0" borderId="10" pivotButton="0" quotePrefix="0" xfId="0"/>
    <xf numFmtId="189" fontId="14" fillId="0" borderId="10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189" fontId="14" fillId="0" borderId="0" applyAlignment="1" pivotButton="0" quotePrefix="0" xfId="0">
      <alignment horizontal="right"/>
    </xf>
    <xf numFmtId="176" fontId="8" fillId="0" borderId="10" applyAlignment="1" pivotButton="0" quotePrefix="0" xfId="1">
      <alignment horizontal="right"/>
    </xf>
    <xf numFmtId="176" fontId="8" fillId="0" borderId="10" pivotButton="0" quotePrefix="0" xfId="1"/>
    <xf numFmtId="176" fontId="8" fillId="0" borderId="0" pivotButton="0" quotePrefix="0" xfId="1"/>
    <xf numFmtId="176" fontId="8" fillId="0" borderId="0" applyAlignment="1" pivotButton="0" quotePrefix="0" xfId="1">
      <alignment horizontal="right"/>
    </xf>
    <xf numFmtId="191" fontId="14" fillId="0" borderId="0" pivotButton="0" quotePrefix="0" xfId="0"/>
    <xf numFmtId="172" fontId="143" fillId="0" borderId="110" applyAlignment="1" pivotButton="0" quotePrefix="0" xfId="412">
      <alignment horizontal="right" wrapText="1" readingOrder="1"/>
    </xf>
    <xf numFmtId="166" fontId="144" fillId="0" borderId="0" applyAlignment="1" pivotButton="0" quotePrefix="0" xfId="0">
      <alignment horizontal="right" wrapText="1" readingOrder="1"/>
    </xf>
    <xf numFmtId="167" fontId="143" fillId="0" borderId="117" applyAlignment="1" pivotButton="0" quotePrefix="0" xfId="0">
      <alignment horizontal="right" wrapText="1" readingOrder="1"/>
    </xf>
    <xf numFmtId="172" fontId="145" fillId="46" borderId="107" applyAlignment="1" pivotButton="0" quotePrefix="0" xfId="412">
      <alignment horizontal="right" wrapText="1" readingOrder="1"/>
    </xf>
    <xf numFmtId="172" fontId="145" fillId="0" borderId="0" applyAlignment="1" pivotButton="0" quotePrefix="0" xfId="412">
      <alignment horizontal="right" wrapText="1" readingOrder="1"/>
    </xf>
    <xf numFmtId="166" fontId="149" fillId="0" borderId="0" applyAlignment="1" pivotButton="0" quotePrefix="0" xfId="0">
      <alignment horizontal="right" wrapText="1" readingOrder="1"/>
    </xf>
    <xf numFmtId="172" fontId="145" fillId="0" borderId="129" applyAlignment="1" pivotButton="0" quotePrefix="0" xfId="412">
      <alignment horizontal="right" wrapText="1" readingOrder="1"/>
    </xf>
    <xf numFmtId="172" fontId="145" fillId="0" borderId="130" applyAlignment="1" pivotButton="0" quotePrefix="0" xfId="412">
      <alignment horizontal="right" wrapText="1" readingOrder="1"/>
    </xf>
    <xf numFmtId="210" fontId="145" fillId="64" borderId="120" applyAlignment="1" pivotButton="0" quotePrefix="0" xfId="412">
      <alignment horizontal="left" wrapText="1" readingOrder="1"/>
    </xf>
    <xf numFmtId="167" fontId="147" fillId="0" borderId="120" applyAlignment="1" pivotButton="0" quotePrefix="0" xfId="0">
      <alignment horizontal="right" wrapText="1" readingOrder="1"/>
    </xf>
    <xf numFmtId="166" fontId="143" fillId="0" borderId="120" applyAlignment="1" pivotButton="0" quotePrefix="0" xfId="0">
      <alignment horizontal="right" wrapText="1" readingOrder="1"/>
    </xf>
    <xf numFmtId="166" fontId="144" fillId="0" borderId="0" applyAlignment="1" pivotButton="0" quotePrefix="0" xfId="406">
      <alignment horizontal="right" wrapText="1" readingOrder="1"/>
    </xf>
    <xf numFmtId="167" fontId="147" fillId="0" borderId="0" applyAlignment="1" pivotButton="0" quotePrefix="0" xfId="0">
      <alignment horizontal="right" wrapText="1" readingOrder="1"/>
    </xf>
    <xf numFmtId="165" fontId="151" fillId="0" borderId="124" applyAlignment="1" pivotButton="0" quotePrefix="0" xfId="0">
      <alignment horizontal="right" wrapText="1" readingOrder="1"/>
    </xf>
    <xf numFmtId="165" fontId="151" fillId="0" borderId="125" applyAlignment="1" pivotButton="0" quotePrefix="0" xfId="0">
      <alignment horizontal="right" vertical="center" wrapText="1" readingOrder="1"/>
    </xf>
    <xf numFmtId="165" fontId="151" fillId="0" borderId="0" applyAlignment="1" pivotButton="0" quotePrefix="0" xfId="0">
      <alignment horizontal="right" vertical="center" wrapText="1" readingOrder="1"/>
    </xf>
    <xf numFmtId="167" fontId="151" fillId="0" borderId="128" applyAlignment="1" pivotButton="0" quotePrefix="0" xfId="0">
      <alignment horizontal="right" vertical="center" wrapText="1" readingOrder="1"/>
    </xf>
    <xf numFmtId="167" fontId="151" fillId="0" borderId="112" applyAlignment="1" pivotButton="0" quotePrefix="0" xfId="0">
      <alignment horizontal="right" vertical="center" wrapText="1" readingOrder="1"/>
    </xf>
    <xf numFmtId="165" fontId="152" fillId="0" borderId="125" applyAlignment="1" pivotButton="0" quotePrefix="0" xfId="0">
      <alignment horizontal="right" vertical="center" wrapText="1" readingOrder="1"/>
    </xf>
    <xf numFmtId="165" fontId="152" fillId="0" borderId="0" applyAlignment="1" pivotButton="0" quotePrefix="0" xfId="0">
      <alignment horizontal="right" vertical="center" wrapText="1" readingOrder="1"/>
    </xf>
    <xf numFmtId="214" fontId="0" fillId="0" borderId="0" pivotButton="0" quotePrefix="0" xfId="412"/>
    <xf numFmtId="214" fontId="0" fillId="0" borderId="0" pivotButton="0" quotePrefix="0" xfId="0"/>
    <xf numFmtId="217" fontId="0" fillId="0" borderId="0" pivotButton="0" quotePrefix="0" xfId="412"/>
    <xf numFmtId="214" fontId="0" fillId="0" borderId="15" pivotButton="0" quotePrefix="0" xfId="0"/>
    <xf numFmtId="214" fontId="6" fillId="46" borderId="0" pivotButton="0" quotePrefix="0" xfId="412"/>
    <xf numFmtId="218" fontId="0" fillId="0" borderId="0" pivotButton="0" quotePrefix="0" xfId="412"/>
    <xf numFmtId="188" fontId="10" fillId="0" borderId="67" applyAlignment="1" pivotButton="0" quotePrefix="0" xfId="1">
      <alignment horizontal="left"/>
    </xf>
    <xf numFmtId="188" fontId="10" fillId="0" borderId="66" pivotButton="0" quotePrefix="0" xfId="1"/>
    <xf numFmtId="167" fontId="10" fillId="0" borderId="66" applyAlignment="1" pivotButton="0" quotePrefix="0" xfId="1">
      <alignment horizontal="left" indent="1"/>
    </xf>
    <xf numFmtId="180" fontId="84" fillId="0" borderId="0" applyAlignment="1" pivotButton="0" quotePrefix="0" xfId="407">
      <alignment horizontal="center" vertical="center"/>
    </xf>
    <xf numFmtId="181" fontId="91" fillId="51" borderId="57" applyAlignment="1" pivotButton="0" quotePrefix="0" xfId="408">
      <alignment horizontal="right" vertical="center"/>
    </xf>
    <xf numFmtId="181" fontId="91" fillId="51" borderId="58" applyAlignment="1" pivotButton="0" quotePrefix="0" xfId="408">
      <alignment horizontal="right" vertical="center"/>
    </xf>
    <xf numFmtId="181" fontId="91" fillId="51" borderId="82" applyAlignment="1" pivotButton="0" quotePrefix="0" xfId="408">
      <alignment horizontal="right" vertical="center"/>
    </xf>
    <xf numFmtId="181" fontId="91" fillId="51" borderId="59" applyAlignment="1" pivotButton="0" quotePrefix="0" xfId="408">
      <alignment horizontal="right" vertical="center"/>
    </xf>
    <xf numFmtId="172" fontId="93" fillId="0" borderId="0" applyAlignment="1" pivotButton="0" quotePrefix="0" xfId="407">
      <alignment horizontal="right" vertical="center"/>
    </xf>
    <xf numFmtId="172" fontId="84" fillId="0" borderId="0" applyAlignment="1" pivotButton="0" quotePrefix="0" xfId="407">
      <alignment horizontal="right" vertical="center"/>
    </xf>
    <xf numFmtId="172" fontId="84" fillId="0" borderId="18" applyAlignment="1" pivotButton="0" quotePrefix="0" xfId="407">
      <alignment horizontal="right" vertical="center"/>
    </xf>
    <xf numFmtId="172" fontId="84" fillId="0" borderId="48" applyAlignment="1" pivotButton="0" quotePrefix="0" xfId="407">
      <alignment horizontal="right" vertical="center"/>
    </xf>
    <xf numFmtId="185" fontId="100" fillId="0" borderId="0" applyAlignment="1" pivotButton="0" quotePrefix="0" xfId="407">
      <alignment horizontal="right" vertical="center"/>
    </xf>
    <xf numFmtId="185" fontId="100" fillId="0" borderId="34" applyAlignment="1" pivotButton="0" quotePrefix="0" xfId="407">
      <alignment horizontal="right" vertical="center"/>
    </xf>
    <xf numFmtId="185" fontId="100" fillId="0" borderId="18" applyAlignment="1" pivotButton="0" quotePrefix="0" xfId="407">
      <alignment horizontal="right" vertical="center"/>
    </xf>
    <xf numFmtId="185" fontId="100" fillId="0" borderId="48" applyAlignment="1" pivotButton="0" quotePrefix="0" xfId="407">
      <alignment horizontal="right" vertical="center"/>
    </xf>
    <xf numFmtId="185" fontId="100" fillId="0" borderId="0" applyAlignment="1" pivotButton="0" quotePrefix="0" xfId="407">
      <alignment horizontal="right"/>
    </xf>
    <xf numFmtId="172" fontId="92" fillId="52" borderId="0" applyAlignment="1" pivotButton="0" quotePrefix="0" xfId="407">
      <alignment horizontal="right" vertical="center"/>
    </xf>
    <xf numFmtId="172" fontId="92" fillId="52" borderId="18" applyAlignment="1" pivotButton="0" quotePrefix="0" xfId="407">
      <alignment horizontal="right" vertical="center"/>
    </xf>
    <xf numFmtId="172" fontId="92" fillId="52" borderId="48" applyAlignment="1" pivotButton="0" quotePrefix="0" xfId="407">
      <alignment horizontal="right" vertical="center"/>
    </xf>
    <xf numFmtId="185" fontId="92" fillId="52" borderId="0" applyAlignment="1" pivotButton="0" quotePrefix="0" xfId="407">
      <alignment horizontal="right" vertical="center"/>
    </xf>
    <xf numFmtId="185" fontId="92" fillId="52" borderId="34" applyAlignment="1" pivotButton="0" quotePrefix="0" xfId="407">
      <alignment horizontal="right" vertical="center"/>
    </xf>
    <xf numFmtId="185" fontId="92" fillId="52" borderId="18" applyAlignment="1" pivotButton="0" quotePrefix="0" xfId="407">
      <alignment horizontal="right" vertical="center"/>
    </xf>
    <xf numFmtId="185" fontId="92" fillId="52" borderId="48" applyAlignment="1" pivotButton="0" quotePrefix="0" xfId="407">
      <alignment horizontal="right" vertical="center"/>
    </xf>
    <xf numFmtId="185" fontId="92" fillId="0" borderId="0" applyAlignment="1" pivotButton="0" quotePrefix="0" xfId="407">
      <alignment horizontal="right"/>
    </xf>
    <xf numFmtId="172" fontId="92" fillId="52" borderId="52" applyAlignment="1" pivotButton="0" quotePrefix="0" xfId="407">
      <alignment horizontal="right" vertical="center"/>
    </xf>
    <xf numFmtId="172" fontId="98" fillId="52" borderId="0" applyAlignment="1" pivotButton="0" quotePrefix="0" xfId="407">
      <alignment horizontal="right" vertical="center"/>
    </xf>
    <xf numFmtId="172" fontId="98" fillId="52" borderId="50" applyAlignment="1" pivotButton="0" quotePrefix="0" xfId="407">
      <alignment horizontal="right" vertical="center"/>
    </xf>
    <xf numFmtId="172" fontId="92" fillId="52" borderId="50" applyAlignment="1" pivotButton="0" quotePrefix="0" xfId="407">
      <alignment horizontal="right" vertical="center"/>
    </xf>
    <xf numFmtId="172" fontId="92" fillId="52" borderId="53" applyAlignment="1" pivotButton="0" quotePrefix="0" xfId="407">
      <alignment horizontal="right" vertical="center"/>
    </xf>
    <xf numFmtId="172" fontId="92" fillId="52" borderId="51" applyAlignment="1" pivotButton="0" quotePrefix="0" xfId="407">
      <alignment horizontal="right" vertical="center"/>
    </xf>
    <xf numFmtId="185" fontId="92" fillId="52" borderId="50" applyAlignment="1" pivotButton="0" quotePrefix="0" xfId="407">
      <alignment horizontal="right" vertical="center"/>
    </xf>
    <xf numFmtId="185" fontId="92" fillId="52" borderId="53" applyAlignment="1" pivotButton="0" quotePrefix="0" xfId="407">
      <alignment horizontal="right" vertical="center"/>
    </xf>
    <xf numFmtId="185" fontId="92" fillId="52" borderId="51" applyAlignment="1" pivotButton="0" quotePrefix="0" xfId="407">
      <alignment horizontal="right" vertical="center"/>
    </xf>
    <xf numFmtId="186" fontId="91" fillId="51" borderId="58" applyAlignment="1" pivotButton="0" quotePrefix="0" xfId="407">
      <alignment horizontal="right" vertical="center"/>
    </xf>
    <xf numFmtId="187" fontId="91" fillId="51" borderId="58" applyAlignment="1" pivotButton="0" quotePrefix="0" xfId="407">
      <alignment horizontal="right" vertical="center"/>
    </xf>
    <xf numFmtId="172" fontId="92" fillId="52" borderId="57" applyAlignment="1" pivotButton="0" quotePrefix="0" xfId="407">
      <alignment vertical="center"/>
    </xf>
    <xf numFmtId="172" fontId="92" fillId="52" borderId="57" applyAlignment="1" pivotButton="0" quotePrefix="0" xfId="407">
      <alignment horizontal="right" vertical="center"/>
    </xf>
    <xf numFmtId="172" fontId="92" fillId="52" borderId="59" applyAlignment="1" pivotButton="0" quotePrefix="0" xfId="407">
      <alignment horizontal="right" vertical="center"/>
    </xf>
    <xf numFmtId="172" fontId="92" fillId="52" borderId="58" applyAlignment="1" pivotButton="0" quotePrefix="0" xfId="407">
      <alignment horizontal="right" vertical="center"/>
    </xf>
    <xf numFmtId="172" fontId="92" fillId="0" borderId="0" applyAlignment="1" pivotButton="0" quotePrefix="0" xfId="407">
      <alignment horizontal="right" vertical="center"/>
    </xf>
    <xf numFmtId="197" fontId="114" fillId="0" borderId="0" applyAlignment="1" pivotButton="0" quotePrefix="0" xfId="1">
      <alignment vertical="center"/>
    </xf>
    <xf numFmtId="186" fontId="92" fillId="0" borderId="0" applyAlignment="1" pivotButton="0" quotePrefix="0" xfId="407">
      <alignment horizontal="right" vertical="center"/>
    </xf>
    <xf numFmtId="187" fontId="84" fillId="0" borderId="48" applyAlignment="1" pivotButton="0" quotePrefix="0" xfId="407">
      <alignment vertical="center"/>
    </xf>
    <xf numFmtId="176" fontId="103" fillId="0" borderId="0" applyAlignment="1" pivotButton="0" quotePrefix="0" xfId="407">
      <alignment horizontal="center" vertical="center"/>
    </xf>
    <xf numFmtId="172" fontId="115" fillId="0" borderId="17" pivotButton="0" quotePrefix="0" xfId="0"/>
    <xf numFmtId="172" fontId="92" fillId="0" borderId="10" applyAlignment="1" pivotButton="0" quotePrefix="0" xfId="406">
      <alignment horizontal="right" vertical="center"/>
    </xf>
    <xf numFmtId="197" fontId="114" fillId="0" borderId="10" applyAlignment="1" pivotButton="0" quotePrefix="0" xfId="1">
      <alignment vertical="center"/>
    </xf>
    <xf numFmtId="187" fontId="92" fillId="0" borderId="84" applyAlignment="1" pivotButton="0" quotePrefix="0" xfId="407">
      <alignment vertical="center"/>
    </xf>
    <xf numFmtId="186" fontId="84" fillId="0" borderId="0" applyAlignment="1" pivotButton="0" quotePrefix="0" xfId="407">
      <alignment horizontal="right" vertical="center"/>
    </xf>
    <xf numFmtId="187" fontId="102" fillId="0" borderId="48" applyAlignment="1" pivotButton="0" quotePrefix="0" xfId="407">
      <alignment vertical="center"/>
    </xf>
    <xf numFmtId="187" fontId="100" fillId="0" borderId="48" applyAlignment="1" pivotButton="0" quotePrefix="0" xfId="407">
      <alignment vertical="center"/>
    </xf>
    <xf numFmtId="176" fontId="100" fillId="0" borderId="0" applyAlignment="1" pivotButton="0" quotePrefix="0" xfId="407">
      <alignment horizontal="center" vertical="center"/>
    </xf>
    <xf numFmtId="197" fontId="116" fillId="0" borderId="10" applyAlignment="1" pivotButton="0" quotePrefix="0" xfId="1">
      <alignment vertical="center"/>
    </xf>
    <xf numFmtId="172" fontId="102" fillId="0" borderId="10" pivotButton="0" quotePrefix="0" xfId="407"/>
    <xf numFmtId="186" fontId="92" fillId="0" borderId="84" applyAlignment="1" pivotButton="0" quotePrefix="0" xfId="407">
      <alignment horizontal="right" vertical="center"/>
    </xf>
    <xf numFmtId="172" fontId="99" fillId="0" borderId="0" applyAlignment="1" pivotButton="0" quotePrefix="0" xfId="407">
      <alignment vertical="center"/>
    </xf>
    <xf numFmtId="172" fontId="95" fillId="0" borderId="18" applyAlignment="1" pivotButton="0" quotePrefix="0" xfId="407">
      <alignment vertical="center"/>
    </xf>
    <xf numFmtId="172" fontId="95" fillId="0" borderId="0" applyAlignment="1" pivotButton="0" quotePrefix="0" xfId="407">
      <alignment vertical="center"/>
    </xf>
    <xf numFmtId="172" fontId="93" fillId="0" borderId="0" applyAlignment="1" pivotButton="0" quotePrefix="0" xfId="407">
      <alignment vertical="center"/>
    </xf>
    <xf numFmtId="172" fontId="95" fillId="0" borderId="48" applyAlignment="1" pivotButton="0" quotePrefix="0" xfId="407">
      <alignment vertical="center"/>
    </xf>
    <xf numFmtId="172" fontId="84" fillId="0" borderId="0" applyAlignment="1" pivotButton="0" quotePrefix="0" xfId="407">
      <alignment vertical="center"/>
    </xf>
    <xf numFmtId="172" fontId="84" fillId="0" borderId="48" applyAlignment="1" pivotButton="0" quotePrefix="0" xfId="407">
      <alignment vertical="center"/>
    </xf>
    <xf numFmtId="191" fontId="84" fillId="0" borderId="0" applyAlignment="1" pivotButton="0" quotePrefix="0" xfId="407">
      <alignment vertical="center"/>
    </xf>
    <xf numFmtId="191" fontId="84" fillId="0" borderId="48" applyAlignment="1" pivotButton="0" quotePrefix="0" xfId="407">
      <alignment vertical="center"/>
    </xf>
    <xf numFmtId="174" fontId="103" fillId="0" borderId="0" pivotButton="0" quotePrefix="0" xfId="407"/>
    <xf numFmtId="186" fontId="94" fillId="0" borderId="0" applyAlignment="1" pivotButton="0" quotePrefix="0" xfId="407">
      <alignment horizontal="right" vertical="center"/>
    </xf>
    <xf numFmtId="191" fontId="84" fillId="0" borderId="50" applyAlignment="1" pivotButton="0" quotePrefix="0" xfId="407">
      <alignment vertical="center"/>
    </xf>
    <xf numFmtId="191" fontId="84" fillId="0" borderId="51" applyAlignment="1" pivotButton="0" quotePrefix="0" xfId="407">
      <alignment vertical="center"/>
    </xf>
    <xf numFmtId="186" fontId="92" fillId="52" borderId="50" applyAlignment="1" pivotButton="0" quotePrefix="0" xfId="407">
      <alignment vertical="center"/>
    </xf>
    <xf numFmtId="172" fontId="92" fillId="52" borderId="49" applyAlignment="1" pivotButton="0" quotePrefix="0" xfId="407">
      <alignment horizontal="left" vertical="center"/>
    </xf>
    <xf numFmtId="187" fontId="92" fillId="52" borderId="51" applyAlignment="1" pivotButton="0" quotePrefix="0" xfId="407">
      <alignment vertical="center"/>
    </xf>
    <xf numFmtId="172" fontId="92" fillId="0" borderId="0" applyAlignment="1" pivotButton="0" quotePrefix="0" xfId="407">
      <alignment vertical="center"/>
    </xf>
    <xf numFmtId="181" fontId="91" fillId="51" borderId="57" applyAlignment="1" pivotButton="0" quotePrefix="0" xfId="408">
      <alignment vertical="center"/>
    </xf>
    <xf numFmtId="186" fontId="91" fillId="51" borderId="57" applyAlignment="1" pivotButton="0" quotePrefix="0" xfId="407">
      <alignment horizontal="right" vertical="center"/>
    </xf>
    <xf numFmtId="172" fontId="84" fillId="0" borderId="0" applyAlignment="1" pivotButton="0" quotePrefix="0" xfId="1">
      <alignment vertical="center"/>
    </xf>
    <xf numFmtId="189" fontId="84" fillId="0" borderId="0" applyAlignment="1" pivotButton="0" quotePrefix="0" xfId="1">
      <alignment vertical="center"/>
    </xf>
    <xf numFmtId="189" fontId="84" fillId="0" borderId="48" applyAlignment="1" pivotButton="0" quotePrefix="0" xfId="1">
      <alignment horizontal="right" vertical="center"/>
    </xf>
    <xf numFmtId="172" fontId="84" fillId="0" borderId="48" applyAlignment="1" pivotButton="0" quotePrefix="0" xfId="1">
      <alignment vertical="center"/>
    </xf>
    <xf numFmtId="187" fontId="92" fillId="0" borderId="48" applyAlignment="1" pivotButton="0" quotePrefix="0" xfId="407">
      <alignment vertical="center"/>
    </xf>
    <xf numFmtId="189" fontId="92" fillId="52" borderId="0" applyAlignment="1" pivotButton="0" quotePrefix="0" xfId="1">
      <alignment vertical="center"/>
    </xf>
    <xf numFmtId="172" fontId="92" fillId="52" borderId="0" applyAlignment="1" pivotButton="0" quotePrefix="0" xfId="1">
      <alignment vertical="center"/>
    </xf>
    <xf numFmtId="172" fontId="92" fillId="52" borderId="48" applyAlignment="1" pivotButton="0" quotePrefix="0" xfId="1">
      <alignment vertical="center"/>
    </xf>
    <xf numFmtId="172" fontId="104" fillId="0" borderId="0" applyAlignment="1" pivotButton="0" quotePrefix="0" xfId="1">
      <alignment vertical="center"/>
    </xf>
    <xf numFmtId="191" fontId="84" fillId="0" borderId="0" applyAlignment="1" pivotButton="0" quotePrefix="0" xfId="1">
      <alignment vertical="center"/>
    </xf>
    <xf numFmtId="195" fontId="84" fillId="0" borderId="48" applyAlignment="1" pivotButton="0" quotePrefix="0" xfId="1">
      <alignment horizontal="right" vertical="center"/>
    </xf>
    <xf numFmtId="172" fontId="92" fillId="0" borderId="0" applyAlignment="1" pivotButton="0" quotePrefix="0" xfId="1">
      <alignment vertical="center"/>
    </xf>
    <xf numFmtId="189" fontId="84" fillId="0" borderId="0" applyAlignment="1" pivotButton="0" quotePrefix="0" xfId="1">
      <alignment horizontal="right" vertical="center"/>
    </xf>
    <xf numFmtId="186" fontId="84" fillId="0" borderId="0" applyAlignment="1" pivotButton="0" quotePrefix="0" xfId="1">
      <alignment vertical="center"/>
    </xf>
    <xf numFmtId="189" fontId="84" fillId="0" borderId="48" applyAlignment="1" pivotButton="0" quotePrefix="0" xfId="1">
      <alignment vertical="center"/>
    </xf>
    <xf numFmtId="186" fontId="84" fillId="0" borderId="0" applyAlignment="1" pivotButton="0" quotePrefix="0" xfId="407">
      <alignment vertical="center"/>
    </xf>
    <xf numFmtId="196" fontId="100" fillId="0" borderId="47" applyAlignment="1" pivotButton="0" quotePrefix="0" xfId="407">
      <alignment vertical="center"/>
    </xf>
    <xf numFmtId="189" fontId="84" fillId="55" borderId="0" applyAlignment="1" pivotButton="0" quotePrefix="0" xfId="1">
      <alignment horizontal="right" vertical="center"/>
    </xf>
    <xf numFmtId="189" fontId="84" fillId="55" borderId="48" applyAlignment="1" pivotButton="0" quotePrefix="0" xfId="1">
      <alignment horizontal="right" vertical="center"/>
    </xf>
    <xf numFmtId="189" fontId="84" fillId="0" borderId="50" applyAlignment="1" pivotButton="0" quotePrefix="0" xfId="1">
      <alignment vertical="center"/>
    </xf>
    <xf numFmtId="189" fontId="84" fillId="0" borderId="51" applyAlignment="1" pivotButton="0" quotePrefix="0" xfId="1">
      <alignment vertical="center"/>
    </xf>
    <xf numFmtId="189" fontId="92" fillId="52" borderId="50" applyAlignment="1" pivotButton="0" quotePrefix="0" xfId="1">
      <alignment vertical="center"/>
    </xf>
    <xf numFmtId="189" fontId="92" fillId="52" borderId="51" applyAlignment="1" pivotButton="0" quotePrefix="0" xfId="1">
      <alignment vertical="center"/>
    </xf>
    <xf numFmtId="172" fontId="84" fillId="0" borderId="50" applyAlignment="1" pivotButton="0" quotePrefix="0" xfId="407">
      <alignment horizontal="right" vertical="center"/>
    </xf>
    <xf numFmtId="186" fontId="84" fillId="0" borderId="50" applyAlignment="1" pivotButton="0" quotePrefix="0" xfId="407">
      <alignment horizontal="right" vertical="center"/>
    </xf>
    <xf numFmtId="187" fontId="84" fillId="0" borderId="51" applyAlignment="1" pivotButton="0" quotePrefix="0" xfId="407">
      <alignment vertical="center"/>
    </xf>
    <xf numFmtId="200" fontId="84" fillId="0" borderId="0" applyAlignment="1" pivotButton="0" quotePrefix="0" xfId="407">
      <alignment horizontal="right" vertical="center"/>
    </xf>
    <xf numFmtId="200" fontId="84" fillId="0" borderId="0" applyAlignment="1" pivotButton="0" quotePrefix="0" xfId="407">
      <alignment vertical="center"/>
    </xf>
    <xf numFmtId="200" fontId="84" fillId="0" borderId="48" applyAlignment="1" pivotButton="0" quotePrefix="0" xfId="407">
      <alignment vertical="center"/>
    </xf>
    <xf numFmtId="200" fontId="8" fillId="54" borderId="0" pivotButton="0" quotePrefix="0" xfId="1"/>
    <xf numFmtId="200" fontId="8" fillId="54" borderId="50" pivotButton="0" quotePrefix="0" xfId="1"/>
    <xf numFmtId="200" fontId="84" fillId="0" borderId="50" applyAlignment="1" pivotButton="0" quotePrefix="0" xfId="407">
      <alignment horizontal="right" vertical="center"/>
    </xf>
    <xf numFmtId="200" fontId="84" fillId="0" borderId="51" applyAlignment="1" pivotButton="0" quotePrefix="0" xfId="407">
      <alignment horizontal="right" vertical="center"/>
    </xf>
    <xf numFmtId="172" fontId="84" fillId="0" borderId="0" applyAlignment="1" pivotButton="0" quotePrefix="0" xfId="407">
      <alignment horizontal="right"/>
    </xf>
    <xf numFmtId="172" fontId="92" fillId="0" borderId="0" pivotButton="0" quotePrefix="0" xfId="1"/>
    <xf numFmtId="210" fontId="6" fillId="0" borderId="121" pivotButton="0" quotePrefix="0" xfId="412"/>
    <xf numFmtId="210" fontId="0" fillId="0" borderId="122" pivotButton="0" quotePrefix="0" xfId="412"/>
    <xf numFmtId="210" fontId="6" fillId="0" borderId="122" pivotButton="0" quotePrefix="0" xfId="412"/>
    <xf numFmtId="213" fontId="6" fillId="49" borderId="17" pivotButton="0" quotePrefix="0" xfId="0"/>
    <xf numFmtId="167" fontId="0" fillId="12" borderId="0" pivotButton="0" quotePrefix="0" xfId="0"/>
    <xf numFmtId="210" fontId="0" fillId="63" borderId="13" pivotButton="0" quotePrefix="0" xfId="412"/>
    <xf numFmtId="210" fontId="0" fillId="0" borderId="0" pivotButton="0" quotePrefix="0" xfId="412"/>
    <xf numFmtId="210" fontId="0" fillId="63" borderId="16" pivotButton="0" quotePrefix="0" xfId="412"/>
    <xf numFmtId="210" fontId="6" fillId="0" borderId="107" pivotButton="0" quotePrefix="0" xfId="412"/>
    <xf numFmtId="208" fontId="0" fillId="0" borderId="0" pivotButton="0" quotePrefix="0" xfId="412"/>
    <xf numFmtId="169" fontId="0" fillId="12" borderId="0" pivotButton="0" quotePrefix="0" xfId="406"/>
    <xf numFmtId="165" fontId="0" fillId="12" borderId="0" pivotButton="0" quotePrefix="0" xfId="0"/>
    <xf numFmtId="0" fontId="0" fillId="0" borderId="100" pivotButton="0" quotePrefix="0" xfId="0"/>
    <xf numFmtId="206" fontId="84" fillId="0" borderId="101" applyAlignment="1" pivotButton="0" quotePrefix="0" xfId="416">
      <alignment vertical="center" wrapText="1"/>
    </xf>
    <xf numFmtId="206" fontId="84" fillId="0" borderId="101" applyAlignment="1" applyProtection="1" pivotButton="0" quotePrefix="0" xfId="416">
      <alignment vertical="center" wrapText="1"/>
      <protection locked="0" hidden="0"/>
    </xf>
    <xf numFmtId="206" fontId="92" fillId="0" borderId="101" applyAlignment="1" pivotButton="0" quotePrefix="0" xfId="416">
      <alignment vertical="center" wrapText="1"/>
    </xf>
    <xf numFmtId="206" fontId="92" fillId="14" borderId="101" applyAlignment="1" pivotButton="0" quotePrefix="0" xfId="416">
      <alignment vertical="center" wrapText="1"/>
    </xf>
    <xf numFmtId="206" fontId="0" fillId="0" borderId="0" pivotButton="0" quotePrefix="0" xfId="0"/>
    <xf numFmtId="206" fontId="92" fillId="14" borderId="101" applyAlignment="1" applyProtection="1" pivotButton="0" quotePrefix="0" xfId="416">
      <alignment vertical="center" wrapText="1"/>
      <protection locked="0" hidden="0"/>
    </xf>
    <xf numFmtId="206" fontId="92" fillId="0" borderId="0" applyAlignment="1" applyProtection="1" pivotButton="0" quotePrefix="0" xfId="416">
      <alignment vertical="center" wrapText="1"/>
      <protection locked="0" hidden="0"/>
    </xf>
    <xf numFmtId="206" fontId="84" fillId="0" borderId="0" applyAlignment="1" applyProtection="1" pivotButton="0" quotePrefix="0" xfId="416">
      <alignment vertical="center" wrapText="1"/>
      <protection locked="0" hidden="0"/>
    </xf>
    <xf numFmtId="206" fontId="102" fillId="0" borderId="136" pivotButton="0" quotePrefix="0" xfId="412"/>
    <xf numFmtId="206" fontId="92" fillId="0" borderId="139" applyAlignment="1" pivotButton="0" quotePrefix="0" xfId="416">
      <alignment vertical="center" wrapText="1"/>
    </xf>
    <xf numFmtId="208" fontId="100" fillId="0" borderId="0" pivotButton="0" quotePrefix="0" xfId="412"/>
    <xf numFmtId="206" fontId="159" fillId="60" borderId="136" pivotButton="0" quotePrefix="0" xfId="0"/>
    <xf numFmtId="206" fontId="74" fillId="60" borderId="0" pivotButton="0" quotePrefix="0" xfId="0"/>
    <xf numFmtId="208" fontId="158" fillId="0" borderId="0" applyAlignment="1" pivotButton="0" quotePrefix="0" xfId="412">
      <alignment horizontal="center"/>
    </xf>
    <xf numFmtId="216" fontId="0" fillId="60" borderId="0" pivotButton="0" quotePrefix="0" xfId="0"/>
    <xf numFmtId="216" fontId="6" fillId="60" borderId="45" applyAlignment="1" pivotButton="0" quotePrefix="0" xfId="0">
      <alignment horizontal="center"/>
    </xf>
    <xf numFmtId="0" fontId="0" fillId="0" borderId="45" pivotButton="0" quotePrefix="0" xfId="0"/>
    <xf numFmtId="216" fontId="6" fillId="60" borderId="144" applyAlignment="1" pivotButton="0" quotePrefix="0" xfId="0">
      <alignment horizontal="center"/>
    </xf>
    <xf numFmtId="0" fontId="0" fillId="0" borderId="46" pivotButton="0" quotePrefix="0" xfId="0"/>
    <xf numFmtId="216" fontId="6" fillId="60" borderId="0" applyAlignment="1" pivotButton="0" quotePrefix="0" xfId="0">
      <alignment horizontal="center"/>
    </xf>
    <xf numFmtId="216" fontId="6" fillId="60" borderId="47" applyAlignment="1" pivotButton="0" quotePrefix="0" xfId="0">
      <alignment horizontal="center"/>
    </xf>
    <xf numFmtId="216" fontId="6" fillId="60" borderId="48" applyAlignment="1" pivotButton="0" quotePrefix="0" xfId="0">
      <alignment horizontal="center"/>
    </xf>
    <xf numFmtId="216" fontId="0" fillId="60" borderId="47" pivotButton="0" quotePrefix="0" xfId="0"/>
    <xf numFmtId="216" fontId="0" fillId="60" borderId="48" pivotButton="0" quotePrefix="0" xfId="0"/>
    <xf numFmtId="216" fontId="6" fillId="52" borderId="0" pivotButton="0" quotePrefix="0" xfId="0"/>
    <xf numFmtId="216" fontId="6" fillId="52" borderId="47" pivotButton="0" quotePrefix="0" xfId="0"/>
    <xf numFmtId="216" fontId="6" fillId="52" borderId="48" pivotButton="0" quotePrefix="0" xfId="0"/>
    <xf numFmtId="206" fontId="0" fillId="60" borderId="0" pivotButton="0" quotePrefix="0" xfId="0"/>
    <xf numFmtId="206" fontId="0" fillId="60" borderId="15" pivotButton="0" quotePrefix="0" xfId="0"/>
    <xf numFmtId="216" fontId="6" fillId="14" borderId="107" pivotButton="0" quotePrefix="0" xfId="0"/>
    <xf numFmtId="206" fontId="6" fillId="14" borderId="107" pivotButton="0" quotePrefix="0" xfId="0"/>
    <xf numFmtId="216" fontId="6" fillId="14" borderId="83" pivotButton="0" quotePrefix="0" xfId="0"/>
    <xf numFmtId="206" fontId="6" fillId="14" borderId="84" pivotButton="0" quotePrefix="0" xfId="0"/>
    <xf numFmtId="206" fontId="6" fillId="52" borderId="136" pivotButton="0" quotePrefix="0" xfId="0"/>
    <xf numFmtId="206" fontId="6" fillId="52" borderId="137" pivotButton="0" quotePrefix="0" xfId="0"/>
    <xf numFmtId="216" fontId="6" fillId="60" borderId="0" pivotButton="0" quotePrefix="0" xfId="0"/>
    <xf numFmtId="216" fontId="6" fillId="60" borderId="47" pivotButton="0" quotePrefix="0" xfId="0"/>
    <xf numFmtId="216" fontId="6" fillId="60" borderId="48" pivotButton="0" quotePrefix="0" xfId="0"/>
    <xf numFmtId="206" fontId="6" fillId="52" borderId="0" pivotButton="0" quotePrefix="0" xfId="0"/>
    <xf numFmtId="206" fontId="6" fillId="52" borderId="48" pivotButton="0" quotePrefix="0" xfId="0"/>
    <xf numFmtId="216" fontId="0" fillId="60" borderId="50" pivotButton="0" quotePrefix="0" xfId="0"/>
    <xf numFmtId="216" fontId="0" fillId="60" borderId="49" pivotButton="0" quotePrefix="0" xfId="0"/>
    <xf numFmtId="216" fontId="0" fillId="60" borderId="51" pivotButton="0" quotePrefix="0" xfId="0"/>
    <xf numFmtId="216" fontId="133" fillId="60" borderId="0" pivotButton="0" quotePrefix="0" xfId="0"/>
    <xf numFmtId="206" fontId="133" fillId="60" borderId="0" pivotButton="0" quotePrefix="0" xfId="0"/>
    <xf numFmtId="206" fontId="92" fillId="14" borderId="101" applyAlignment="1" applyProtection="1" pivotButton="0" quotePrefix="0" xfId="416">
      <alignment horizontal="right" vertical="center" wrapText="1"/>
      <protection locked="0" hidden="0"/>
    </xf>
    <xf numFmtId="206" fontId="92" fillId="0" borderId="101" applyAlignment="1" applyProtection="1" pivotButton="0" quotePrefix="0" xfId="416">
      <alignment vertical="center" wrapText="1"/>
      <protection locked="0" hidden="0"/>
    </xf>
    <xf numFmtId="43" fontId="132" fillId="0" borderId="0" applyProtection="1" pivotButton="0" quotePrefix="0" xfId="417">
      <protection locked="0" hidden="0"/>
    </xf>
    <xf numFmtId="43" fontId="0" fillId="0" borderId="0" pivotButton="0" quotePrefix="0" xfId="417"/>
    <xf numFmtId="206" fontId="133" fillId="0" borderId="0" pivotButton="0" quotePrefix="0" xfId="0"/>
    <xf numFmtId="206" fontId="130" fillId="0" borderId="0" applyProtection="1" pivotButton="0" quotePrefix="0" xfId="415">
      <protection locked="0" hidden="0"/>
    </xf>
    <xf numFmtId="207" fontId="0" fillId="0" borderId="0" pivotButton="0" quotePrefix="0" xfId="417"/>
    <xf numFmtId="207" fontId="0" fillId="0" borderId="0" pivotButton="0" quotePrefix="0" xfId="0"/>
    <xf numFmtId="207" fontId="135" fillId="0" borderId="0" pivotButton="0" quotePrefix="0" xfId="417"/>
    <xf numFmtId="207" fontId="136" fillId="0" borderId="0" pivotButton="0" quotePrefix="0" xfId="417"/>
    <xf numFmtId="207" fontId="133" fillId="0" borderId="0" pivotButton="0" quotePrefix="0" xfId="417"/>
    <xf numFmtId="206" fontId="0" fillId="60" borderId="45" pivotButton="0" quotePrefix="0" xfId="0"/>
    <xf numFmtId="206" fontId="0" fillId="60" borderId="49" pivotButton="0" quotePrefix="0" xfId="0"/>
    <xf numFmtId="206" fontId="0" fillId="60" borderId="50" pivotButton="0" quotePrefix="0" xfId="0"/>
    <xf numFmtId="206" fontId="0" fillId="60" borderId="44" pivotButton="0" quotePrefix="0" xfId="0"/>
    <xf numFmtId="207" fontId="0" fillId="60" borderId="47" pivotButton="0" quotePrefix="0" xfId="417"/>
    <xf numFmtId="207" fontId="0" fillId="60" borderId="49" pivotButton="0" quotePrefix="0" xfId="417"/>
    <xf numFmtId="207" fontId="0" fillId="60" borderId="50" pivotButton="0" quotePrefix="0" xfId="0"/>
    <xf numFmtId="206" fontId="0" fillId="60" borderId="47" pivotButton="0" quotePrefix="0" xfId="0"/>
    <xf numFmtId="43" fontId="0" fillId="60" borderId="50" pivotButton="0" quotePrefix="0" xfId="417"/>
    <xf numFmtId="208" fontId="0" fillId="0" borderId="0" pivotButton="0" quotePrefix="0" xfId="0"/>
    <xf numFmtId="215" fontId="84" fillId="0" borderId="121" applyAlignment="1" applyProtection="1" pivotButton="0" quotePrefix="0" xfId="412">
      <alignment vertical="center" wrapText="1"/>
      <protection locked="0" hidden="0"/>
    </xf>
    <xf numFmtId="215" fontId="84" fillId="0" borderId="122" applyAlignment="1" applyProtection="1" pivotButton="0" quotePrefix="0" xfId="412">
      <alignment vertical="center" wrapText="1"/>
      <protection locked="0" hidden="0"/>
    </xf>
    <xf numFmtId="215" fontId="0" fillId="0" borderId="132" pivotButton="0" quotePrefix="0" xfId="412"/>
    <xf numFmtId="215" fontId="1" fillId="0" borderId="121" pivotButton="0" quotePrefix="0" xfId="412"/>
    <xf numFmtId="215" fontId="84" fillId="0" borderId="121" applyAlignment="1" pivotButton="0" quotePrefix="0" xfId="412">
      <alignment vertical="center" wrapText="1"/>
    </xf>
    <xf numFmtId="215" fontId="1" fillId="0" borderId="122" pivotButton="0" quotePrefix="0" xfId="412"/>
    <xf numFmtId="215" fontId="1" fillId="0" borderId="132" pivotButton="0" quotePrefix="0" xfId="412"/>
    <xf numFmtId="215" fontId="6" fillId="0" borderId="121" pivotButton="0" quotePrefix="0" xfId="412"/>
    <xf numFmtId="215" fontId="92" fillId="0" borderId="121" applyAlignment="1" pivotButton="0" quotePrefix="0" xfId="412">
      <alignment vertical="center" wrapText="1"/>
    </xf>
    <xf numFmtId="215" fontId="92" fillId="0" borderId="121" applyAlignment="1" applyProtection="1" pivotButton="0" quotePrefix="0" xfId="412">
      <alignment vertical="center" wrapText="1"/>
      <protection locked="0" hidden="0"/>
    </xf>
    <xf numFmtId="215" fontId="6" fillId="0" borderId="122" pivotButton="0" quotePrefix="0" xfId="412"/>
    <xf numFmtId="215" fontId="92" fillId="0" borderId="122" applyAlignment="1" applyProtection="1" pivotButton="0" quotePrefix="0" xfId="412">
      <alignment vertical="center" wrapText="1"/>
      <protection locked="0" hidden="0"/>
    </xf>
    <xf numFmtId="215" fontId="6" fillId="0" borderId="132" pivotButton="0" quotePrefix="0" xfId="412"/>
    <xf numFmtId="207" fontId="102" fillId="14" borderId="0" applyAlignment="1" pivotButton="0" quotePrefix="0" xfId="417">
      <alignment vertical="center"/>
    </xf>
    <xf numFmtId="207" fontId="100" fillId="0" borderId="0" pivotButton="0" quotePrefix="0" xfId="417"/>
    <xf numFmtId="207" fontId="102" fillId="0" borderId="0" pivotButton="0" quotePrefix="0" xfId="417"/>
    <xf numFmtId="206" fontId="84" fillId="0" borderId="141" applyAlignment="1" pivotButton="0" quotePrefix="0" xfId="416">
      <alignment vertical="center" wrapText="1"/>
    </xf>
    <xf numFmtId="206" fontId="84" fillId="0" borderId="142" applyAlignment="1" pivotButton="0" quotePrefix="0" xfId="416">
      <alignment vertical="center" wrapText="1"/>
    </xf>
    <xf numFmtId="207" fontId="102" fillId="0" borderId="107" pivotButton="0" quotePrefix="0" xfId="417"/>
    <xf numFmtId="207" fontId="100" fillId="55" borderId="0" pivotButton="0" quotePrefix="0" xfId="417"/>
  </cellXfs>
  <cellStyles count="420">
    <cellStyle name="Normal" xfId="0" builtinId="0"/>
    <cellStyle name="Normal 10" xfId="1"/>
    <cellStyle name="Comma 15" xfId="2"/>
    <cellStyle name="Percent 2" xfId="3"/>
    <cellStyle name="Number" xfId="4"/>
    <cellStyle name="Normal 44" xfId="5"/>
    <cellStyle name="_x000a_shell=progma" xfId="6"/>
    <cellStyle name="_Column1" xfId="7"/>
    <cellStyle name="_Column1 2" xfId="8"/>
    <cellStyle name="_Column2" xfId="9"/>
    <cellStyle name="_Column2 2" xfId="10"/>
    <cellStyle name="_Column3" xfId="11"/>
    <cellStyle name="_Column3 2" xfId="12"/>
    <cellStyle name="_Column4" xfId="13"/>
    <cellStyle name="_Column4 2" xfId="14"/>
    <cellStyle name="_Column5" xfId="15"/>
    <cellStyle name="_Column5 2" xfId="16"/>
    <cellStyle name="_Column6" xfId="17"/>
    <cellStyle name="_Column6 2" xfId="18"/>
    <cellStyle name="_Column7" xfId="19"/>
    <cellStyle name="_Column7 2" xfId="20"/>
    <cellStyle name="_Data" xfId="21"/>
    <cellStyle name="_Data 2" xfId="22"/>
    <cellStyle name="_Header" xfId="23"/>
    <cellStyle name="_Header 2" xfId="24"/>
    <cellStyle name="_Row1" xfId="25"/>
    <cellStyle name="_Row1 2" xfId="26"/>
    <cellStyle name="_Row2" xfId="27"/>
    <cellStyle name="_Row2 2" xfId="28"/>
    <cellStyle name="_Row3" xfId="29"/>
    <cellStyle name="_Row3 2" xfId="30"/>
    <cellStyle name="_Row4" xfId="31"/>
    <cellStyle name="_Row4 2" xfId="32"/>
    <cellStyle name="_Row5" xfId="33"/>
    <cellStyle name="_Row5 2" xfId="34"/>
    <cellStyle name="_Row6" xfId="35"/>
    <cellStyle name="_Row6 2" xfId="36"/>
    <cellStyle name="_Row7" xfId="37"/>
    <cellStyle name="_Row7 2" xfId="38"/>
    <cellStyle name="20% - Dekorfärg1" xfId="39"/>
    <cellStyle name="20% - Dekorfärg1 2" xfId="40"/>
    <cellStyle name="20% - Dekorfärg2" xfId="41"/>
    <cellStyle name="20% - Dekorfärg2 2" xfId="42"/>
    <cellStyle name="20% - Dekorfärg3" xfId="43"/>
    <cellStyle name="20% - Dekorfärg3 2" xfId="44"/>
    <cellStyle name="20% - Dekorfärg4" xfId="45"/>
    <cellStyle name="20% - Dekorfärg4 2" xfId="46"/>
    <cellStyle name="20% - Dekorfärg5" xfId="47"/>
    <cellStyle name="20% - Dekorfärg5 2" xfId="48"/>
    <cellStyle name="20% - Dekorfärg6" xfId="49"/>
    <cellStyle name="20% - Dekorfärg6 2" xfId="50"/>
    <cellStyle name="40% - Dekorfärg1" xfId="51"/>
    <cellStyle name="40% - Dekorfärg1 2" xfId="52"/>
    <cellStyle name="40% - Dekorfärg2" xfId="53"/>
    <cellStyle name="40% - Dekorfärg2 2" xfId="54"/>
    <cellStyle name="40% - Dekorfärg3" xfId="55"/>
    <cellStyle name="40% - Dekorfärg3 2" xfId="56"/>
    <cellStyle name="40% - Dekorfärg4" xfId="57"/>
    <cellStyle name="40% - Dekorfärg4 2" xfId="58"/>
    <cellStyle name="40% - Dekorfärg5" xfId="59"/>
    <cellStyle name="40% - Dekorfärg5 2" xfId="60"/>
    <cellStyle name="40% - Dekorfärg6" xfId="61"/>
    <cellStyle name="40% - Dekorfärg6 2" xfId="62"/>
    <cellStyle name="60% - Dekorfärg1" xfId="63"/>
    <cellStyle name="60% - Dekorfärg1 2" xfId="64"/>
    <cellStyle name="60% - Dekorfärg2" xfId="65"/>
    <cellStyle name="60% - Dekorfärg2 2" xfId="66"/>
    <cellStyle name="60% - Dekorfärg3" xfId="67"/>
    <cellStyle name="60% - Dekorfärg3 2" xfId="68"/>
    <cellStyle name="60% - Dekorfärg4" xfId="69"/>
    <cellStyle name="60% - Dekorfärg4 2" xfId="70"/>
    <cellStyle name="60% - Dekorfärg5" xfId="71"/>
    <cellStyle name="60% - Dekorfärg5 2" xfId="72"/>
    <cellStyle name="60% - Dekorfärg6" xfId="73"/>
    <cellStyle name="60% - Dekorfärg6 2" xfId="74"/>
    <cellStyle name="Accent1 2" xfId="75"/>
    <cellStyle name="Accent1 3" xfId="76"/>
    <cellStyle name="Anteckning" xfId="77"/>
    <cellStyle name="Anteckning 2" xfId="78"/>
    <cellStyle name="Bad 2" xfId="79"/>
    <cellStyle name="Bad 3" xfId="80"/>
    <cellStyle name="Bra" xfId="81"/>
    <cellStyle name="Bra 2" xfId="82"/>
    <cellStyle name="Brand Align Left Text" xfId="83"/>
    <cellStyle name="Brand Default" xfId="84"/>
    <cellStyle name="Brand Default 2" xfId="85"/>
    <cellStyle name="Brand Default_Copy of Project First Cut DealTool 3 version PXS" xfId="86"/>
    <cellStyle name="Brand Percent" xfId="87"/>
    <cellStyle name="Brand Percent 2" xfId="88"/>
    <cellStyle name="Brand Source" xfId="89"/>
    <cellStyle name="Brand Source 2" xfId="90"/>
    <cellStyle name="Brand Subtitle with Underline" xfId="91"/>
    <cellStyle name="Brand Subtitle without Underline" xfId="92"/>
    <cellStyle name="Brand Title" xfId="93"/>
    <cellStyle name="Calculation 2" xfId="94"/>
    <cellStyle name="Check Cell 2" xfId="95"/>
    <cellStyle name="Column" xfId="96"/>
    <cellStyle name="ColumnGroup" xfId="97"/>
    <cellStyle name="Comma 10" xfId="98"/>
    <cellStyle name="Comma 11" xfId="99"/>
    <cellStyle name="Comma 12" xfId="100"/>
    <cellStyle name="Comma 13" xfId="101"/>
    <cellStyle name="Comma 14" xfId="102"/>
    <cellStyle name="Comma 14 2" xfId="103"/>
    <cellStyle name="Comma 2" xfId="104"/>
    <cellStyle name="Comma 2 2" xfId="105"/>
    <cellStyle name="Comma 2 3" xfId="106"/>
    <cellStyle name="Comma 2 3 2" xfId="107"/>
    <cellStyle name="Comma 3" xfId="108"/>
    <cellStyle name="Comma 4" xfId="109"/>
    <cellStyle name="Comma 5" xfId="110"/>
    <cellStyle name="Comma 5 2" xfId="111"/>
    <cellStyle name="Comma 6" xfId="112"/>
    <cellStyle name="Comma 7" xfId="113"/>
    <cellStyle name="Comma 7 2" xfId="114"/>
    <cellStyle name="Comma 8" xfId="115"/>
    <cellStyle name="Comma 8 2" xfId="116"/>
    <cellStyle name="Comma 9" xfId="117"/>
    <cellStyle name="Currency 2" xfId="118"/>
    <cellStyle name="Dålig" xfId="119"/>
    <cellStyle name="Dålig 2" xfId="120"/>
    <cellStyle name="Data entry" xfId="121"/>
    <cellStyle name="Data entry 2" xfId="122"/>
    <cellStyle name="Euro" xfId="123"/>
    <cellStyle name="Euro 2" xfId="124"/>
    <cellStyle name="Explanatory Text 2" xfId="125"/>
    <cellStyle name="EY%colcalc" xfId="126"/>
    <cellStyle name="EY%input" xfId="127"/>
    <cellStyle name="EY%rowcalc" xfId="128"/>
    <cellStyle name="EY0dp" xfId="129"/>
    <cellStyle name="EY1dp" xfId="130"/>
    <cellStyle name="EY2dp" xfId="131"/>
    <cellStyle name="EY3dp" xfId="132"/>
    <cellStyle name="EYColumnHeading" xfId="133"/>
    <cellStyle name="EYColumnHeading 2" xfId="134"/>
    <cellStyle name="EYHeading1" xfId="135"/>
    <cellStyle name="EYheading2" xfId="136"/>
    <cellStyle name="EYheading3" xfId="137"/>
    <cellStyle name="EYnumber" xfId="138"/>
    <cellStyle name="EYSheetHeader1" xfId="139"/>
    <cellStyle name="EYtext" xfId="140"/>
    <cellStyle name="EYtext 2" xfId="141"/>
    <cellStyle name="EYtext 3" xfId="142"/>
    <cellStyle name="EYtext 4" xfId="143"/>
    <cellStyle name="EYtext 5" xfId="144"/>
    <cellStyle name="EYtext 6" xfId="145"/>
    <cellStyle name="EYtext 7" xfId="146"/>
    <cellStyle name="Färg1" xfId="147"/>
    <cellStyle name="Färg1 2" xfId="148"/>
    <cellStyle name="Färg2" xfId="149"/>
    <cellStyle name="Färg2 2" xfId="150"/>
    <cellStyle name="Färg3" xfId="151"/>
    <cellStyle name="Färg3 2" xfId="152"/>
    <cellStyle name="Färg4" xfId="153"/>
    <cellStyle name="Färg4 2" xfId="154"/>
    <cellStyle name="Färg5" xfId="155"/>
    <cellStyle name="Färg5 2" xfId="156"/>
    <cellStyle name="Färg6" xfId="157"/>
    <cellStyle name="Färg6 2" xfId="158"/>
    <cellStyle name="Good 2" xfId="159"/>
    <cellStyle name="Indata" xfId="160"/>
    <cellStyle name="Indata 14" xfId="161"/>
    <cellStyle name="Indata 14 2" xfId="162"/>
    <cellStyle name="Indata 2" xfId="163"/>
    <cellStyle name="Input 2" xfId="164"/>
    <cellStyle name="integer" xfId="165"/>
    <cellStyle name="Kontrollcell" xfId="166"/>
    <cellStyle name="Kontrollcell 2" xfId="167"/>
    <cellStyle name="Kontrollcelle" xfId="168"/>
    <cellStyle name="KPMG Heading 1" xfId="169"/>
    <cellStyle name="KPMG Heading 2" xfId="170"/>
    <cellStyle name="KPMG Heading 3" xfId="171"/>
    <cellStyle name="KPMG Heading 4" xfId="172"/>
    <cellStyle name="KPMG Normal" xfId="173"/>
    <cellStyle name="KPMG Normal 2" xfId="174"/>
    <cellStyle name="KPMG Normal Text" xfId="175"/>
    <cellStyle name="KPMG Normal Text 2" xfId="176"/>
    <cellStyle name="Linked Cell 2" xfId="177"/>
    <cellStyle name="Linked Cell 3" xfId="178"/>
    <cellStyle name="mARKET" xfId="179"/>
    <cellStyle name="mARKET 2" xfId="180"/>
    <cellStyle name="memo" xfId="181"/>
    <cellStyle name="Migliaia (0)_Change Analysis " xfId="182"/>
    <cellStyle name="Migliaia_Change Analysis " xfId="183"/>
    <cellStyle name="Neutral 2" xfId="184"/>
    <cellStyle name="Neutral 3" xfId="185"/>
    <cellStyle name="Normaali_rahoituslaskelma q1 2004 v3 muutettu mauri 1000" xfId="186"/>
    <cellStyle name="Normal 11" xfId="187"/>
    <cellStyle name="Normal 12" xfId="188"/>
    <cellStyle name="Normal 13" xfId="189"/>
    <cellStyle name="Normal 14" xfId="190"/>
    <cellStyle name="Normal 14 2" xfId="191"/>
    <cellStyle name="Normal 15" xfId="192"/>
    <cellStyle name="Normal 16" xfId="193"/>
    <cellStyle name="Normal 16 2" xfId="194"/>
    <cellStyle name="Normal 17" xfId="195"/>
    <cellStyle name="Normal 18" xfId="196"/>
    <cellStyle name="Normal 19" xfId="197"/>
    <cellStyle name="Normal 2" xfId="198"/>
    <cellStyle name="Normal 2 10" xfId="199"/>
    <cellStyle name="Normal 2 11" xfId="200"/>
    <cellStyle name="Normal 2 12" xfId="201"/>
    <cellStyle name="Normal 2 13" xfId="202"/>
    <cellStyle name="Normal 2 13 2" xfId="203"/>
    <cellStyle name="Normal 2 14" xfId="204"/>
    <cellStyle name="Normal 2 15" xfId="205"/>
    <cellStyle name="Normal 2 16" xfId="206"/>
    <cellStyle name="Normal 2 17" xfId="207"/>
    <cellStyle name="Normal 2 17 2" xfId="208"/>
    <cellStyle name="Normal 2 18" xfId="209"/>
    <cellStyle name="Normal 2 2" xfId="210"/>
    <cellStyle name="Normal 2 2 2" xfId="211"/>
    <cellStyle name="Normal 2 2 2 2" xfId="212"/>
    <cellStyle name="Normal 2 2 3" xfId="213"/>
    <cellStyle name="Normal 2 2 4" xfId="214"/>
    <cellStyle name="Normal 2 3" xfId="215"/>
    <cellStyle name="Normal 2 3 2" xfId="216"/>
    <cellStyle name="Normal 2 4" xfId="217"/>
    <cellStyle name="Normal 2 5" xfId="218"/>
    <cellStyle name="Normal 2 6" xfId="219"/>
    <cellStyle name="Normal 2 7" xfId="220"/>
    <cellStyle name="Normal 2 8" xfId="221"/>
    <cellStyle name="Normal 2 9" xfId="222"/>
    <cellStyle name="Normal 20" xfId="223"/>
    <cellStyle name="Normal 21" xfId="224"/>
    <cellStyle name="Normal 22" xfId="225"/>
    <cellStyle name="Normal 23" xfId="226"/>
    <cellStyle name="Normal 24" xfId="227"/>
    <cellStyle name="Normal 25" xfId="228"/>
    <cellStyle name="Normal 25 2" xfId="229"/>
    <cellStyle name="Normal 25 3" xfId="230"/>
    <cellStyle name="Normal 26" xfId="231"/>
    <cellStyle name="Normal 26 2" xfId="232"/>
    <cellStyle name="Normal 27" xfId="233"/>
    <cellStyle name="Normal 28" xfId="234"/>
    <cellStyle name="Normal 29" xfId="235"/>
    <cellStyle name="Normal 3" xfId="236"/>
    <cellStyle name="Normal 3 2" xfId="237"/>
    <cellStyle name="Normal 3 3" xfId="238"/>
    <cellStyle name="Normal 3 3 2" xfId="239"/>
    <cellStyle name="Normal 3 3 3" xfId="240"/>
    <cellStyle name="Normal 3 3 4" xfId="241"/>
    <cellStyle name="Normal 3 3 5" xfId="242"/>
    <cellStyle name="Normal 3 4" xfId="243"/>
    <cellStyle name="Normal 3 5" xfId="244"/>
    <cellStyle name="Normal 30" xfId="245"/>
    <cellStyle name="Normal 31" xfId="246"/>
    <cellStyle name="Normal 32" xfId="247"/>
    <cellStyle name="Normal 33" xfId="248"/>
    <cellStyle name="Normal 34" xfId="249"/>
    <cellStyle name="Normal 35" xfId="250"/>
    <cellStyle name="Normal 36" xfId="251"/>
    <cellStyle name="Normal 36 2" xfId="252"/>
    <cellStyle name="Normal 37" xfId="253"/>
    <cellStyle name="Normal 37 2" xfId="254"/>
    <cellStyle name="Normal 38" xfId="255"/>
    <cellStyle name="Normal 38 2" xfId="256"/>
    <cellStyle name="Normal 39" xfId="257"/>
    <cellStyle name="Normal 4" xfId="258"/>
    <cellStyle name="Normal 4 2" xfId="259"/>
    <cellStyle name="Normal 4 3" xfId="260"/>
    <cellStyle name="Normal 4 4" xfId="261"/>
    <cellStyle name="Normal 40" xfId="262"/>
    <cellStyle name="Normal 40 2" xfId="263"/>
    <cellStyle name="Normal 41" xfId="264"/>
    <cellStyle name="Normal 41 2" xfId="265"/>
    <cellStyle name="Normal 42" xfId="266"/>
    <cellStyle name="Normal 43" xfId="267"/>
    <cellStyle name="Normal 44 2" xfId="268"/>
    <cellStyle name="Normal 44 3" xfId="269"/>
    <cellStyle name="Normal 45" xfId="270"/>
    <cellStyle name="Normal 46" xfId="271"/>
    <cellStyle name="Normal 47" xfId="272"/>
    <cellStyle name="Normal 48" xfId="273"/>
    <cellStyle name="Normal 5" xfId="274"/>
    <cellStyle name="Normal 5 2" xfId="275"/>
    <cellStyle name="Normal 6" xfId="276"/>
    <cellStyle name="Normal 7" xfId="277"/>
    <cellStyle name="Normal 8" xfId="278"/>
    <cellStyle name="Normal 9" xfId="279"/>
    <cellStyle name="Normale_Capital Spending (2)" xfId="280"/>
    <cellStyle name="Note 2" xfId="281"/>
    <cellStyle name="Number Input" xfId="282"/>
    <cellStyle name="Output 2" xfId="283"/>
    <cellStyle name="Percent 2 2" xfId="284"/>
    <cellStyle name="Percent 2 3" xfId="285"/>
    <cellStyle name="Percent 2 3 2" xfId="286"/>
    <cellStyle name="Percent 2 4" xfId="287"/>
    <cellStyle name="Percent 3" xfId="288"/>
    <cellStyle name="Percent 4" xfId="289"/>
    <cellStyle name="Percent 4 2" xfId="290"/>
    <cellStyle name="Percent 5" xfId="291"/>
    <cellStyle name="Percent 6" xfId="292"/>
    <cellStyle name="Percent 6 2" xfId="293"/>
    <cellStyle name="Percent 6 3" xfId="294"/>
    <cellStyle name="Percent 7" xfId="295"/>
    <cellStyle name="Percent 8" xfId="296"/>
    <cellStyle name="Percent CAGR" xfId="297"/>
    <cellStyle name="Procent 2" xfId="298"/>
    <cellStyle name="Procent 2 2" xfId="299"/>
    <cellStyle name="Procent 2 3" xfId="300"/>
    <cellStyle name="Procent 3" xfId="301"/>
    <cellStyle name="Procent 3 2" xfId="302"/>
    <cellStyle name="Prosent 2" xfId="303"/>
    <cellStyle name="Prosent 3" xfId="304"/>
    <cellStyle name="Prosent 3 2" xfId="305"/>
    <cellStyle name="Rubrik" xfId="306"/>
    <cellStyle name="Rubrik 5" xfId="307"/>
    <cellStyle name="Smart Bold" xfId="308"/>
    <cellStyle name="Smart Forecast" xfId="309"/>
    <cellStyle name="Smart General" xfId="310"/>
    <cellStyle name="Smart General 2" xfId="311"/>
    <cellStyle name="Smart General 2 2" xfId="312"/>
    <cellStyle name="Smart General 3" xfId="313"/>
    <cellStyle name="Smart Highlight" xfId="314"/>
    <cellStyle name="Smart Percent" xfId="315"/>
    <cellStyle name="Smart Source" xfId="316"/>
    <cellStyle name="Smart Source 2" xfId="317"/>
    <cellStyle name="Smart Source 3" xfId="318"/>
    <cellStyle name="Smart Subtitle 1" xfId="319"/>
    <cellStyle name="Smart Subtitle 1 2" xfId="320"/>
    <cellStyle name="Smart Subtitle 1 2 2" xfId="321"/>
    <cellStyle name="Smart Subtitle 1 2 3" xfId="322"/>
    <cellStyle name="Smart Subtitle 1 3" xfId="323"/>
    <cellStyle name="Smart Subtitle 1 4" xfId="324"/>
    <cellStyle name="Smart Subtitle 1 5" xfId="325"/>
    <cellStyle name="Smart Subtitle 1 6" xfId="326"/>
    <cellStyle name="Smart Subtitle 2" xfId="327"/>
    <cellStyle name="Smart Subtitle 2 2" xfId="328"/>
    <cellStyle name="Smart Subtitle 2 2 2" xfId="329"/>
    <cellStyle name="Smart Subtitle 2 3" xfId="330"/>
    <cellStyle name="Smart Subtitle 2 4" xfId="331"/>
    <cellStyle name="Smart Subtotal" xfId="332"/>
    <cellStyle name="Smart Title" xfId="333"/>
    <cellStyle name="Smart Title 10" xfId="334"/>
    <cellStyle name="Smart Title 11" xfId="335"/>
    <cellStyle name="Smart Title 12" xfId="336"/>
    <cellStyle name="Smart Title 13" xfId="337"/>
    <cellStyle name="Smart Title 14" xfId="338"/>
    <cellStyle name="Smart Title 15" xfId="339"/>
    <cellStyle name="Smart Title 16" xfId="340"/>
    <cellStyle name="Smart Title 17" xfId="341"/>
    <cellStyle name="Smart Title 18" xfId="342"/>
    <cellStyle name="Smart Title 19" xfId="343"/>
    <cellStyle name="Smart Title 2" xfId="344"/>
    <cellStyle name="Smart Title 2 2" xfId="345"/>
    <cellStyle name="Smart Title 20" xfId="346"/>
    <cellStyle name="Smart Title 3" xfId="347"/>
    <cellStyle name="Smart Title 4" xfId="348"/>
    <cellStyle name="Smart Title 5" xfId="349"/>
    <cellStyle name="Smart Title 5 2" xfId="350"/>
    <cellStyle name="Smart Title 6" xfId="351"/>
    <cellStyle name="Smart Title 7" xfId="352"/>
    <cellStyle name="Smart Title 8" xfId="353"/>
    <cellStyle name="Smart Title 9" xfId="354"/>
    <cellStyle name="Smart Total" xfId="355"/>
    <cellStyle name="Smart Total 2" xfId="356"/>
    <cellStyle name="Smart Total 2 2" xfId="357"/>
    <cellStyle name="Smart Total 2 3" xfId="358"/>
    <cellStyle name="Smart Total 3" xfId="359"/>
    <cellStyle name="Smart Total 4" xfId="360"/>
    <cellStyle name="Smart Total 5" xfId="361"/>
    <cellStyle name="Smart Total 6" xfId="362"/>
    <cellStyle name="Standard_AGR Toughened FY15" xfId="363"/>
    <cellStyle name="Style 1" xfId="364"/>
    <cellStyle name="Summa" xfId="365"/>
    <cellStyle name="Summa 2" xfId="366"/>
    <cellStyle name="text" xfId="367"/>
    <cellStyle name="Total 2" xfId="368"/>
    <cellStyle name="Tusenskille 10" xfId="369"/>
    <cellStyle name="Tusenskille 11" xfId="370"/>
    <cellStyle name="Tusenskille 12" xfId="371"/>
    <cellStyle name="Tusenskille 13" xfId="372"/>
    <cellStyle name="Tusenskille 2" xfId="373"/>
    <cellStyle name="Tusenskille 2 2" xfId="374"/>
    <cellStyle name="Tusenskille 3" xfId="375"/>
    <cellStyle name="Tusenskille 4" xfId="376"/>
    <cellStyle name="Tusenskille 5" xfId="377"/>
    <cellStyle name="Tusenskille 5 2" xfId="378"/>
    <cellStyle name="Tusenskille 6" xfId="379"/>
    <cellStyle name="Tusenskille 7" xfId="380"/>
    <cellStyle name="Tusenskille 8" xfId="381"/>
    <cellStyle name="Tusenskille 9" xfId="382"/>
    <cellStyle name="Tusenskille_Currency Q4 2006" xfId="383"/>
    <cellStyle name="Tusental (0)_2448" xfId="384"/>
    <cellStyle name="Tusental 2" xfId="385"/>
    <cellStyle name="Tusental 2 2" xfId="386"/>
    <cellStyle name="Tusental 3" xfId="387"/>
    <cellStyle name="Tusental 3 2" xfId="388"/>
    <cellStyle name="Tusental 4" xfId="389"/>
    <cellStyle name="Tusental 4 2" xfId="390"/>
    <cellStyle name="Tusental 5" xfId="391"/>
    <cellStyle name="Tusental 6" xfId="392"/>
    <cellStyle name="Tusental 7" xfId="393"/>
    <cellStyle name="Tusental 8" xfId="394"/>
    <cellStyle name="Valuta (0)_2448" xfId="395"/>
    <cellStyle name="Valuta_ANPSOTT" xfId="396"/>
    <cellStyle name="Varningstext" xfId="397"/>
    <cellStyle name="Varningstext 2" xfId="398"/>
    <cellStyle name="桁区切り_wf_ base_dataFY08-Kyoto-070415予算組替" xfId="399"/>
    <cellStyle name="標準_wf_ base_dataFY08-Kyoto-070415予算組替" xfId="400"/>
    <cellStyle name="Statement Sub-Header" xfId="401"/>
    <cellStyle name="Multiple Out" xfId="402"/>
    <cellStyle name="******************************************" xfId="403"/>
    <cellStyle name="Input 3" xfId="404"/>
    <cellStyle name="Style 1 2" xfId="405"/>
    <cellStyle name="Percent" xfId="406" builtinId="5"/>
    <cellStyle name="%" xfId="407"/>
    <cellStyle name="Normal_071122 2225 Umbau_light_mittel_premium_gesamt_fresh" xfId="408"/>
    <cellStyle name="% 2" xfId="409"/>
    <cellStyle name="Invisible" xfId="410"/>
    <cellStyle name="Standard 3" xfId="411"/>
    <cellStyle name="Comma" xfId="412" builtinId="3"/>
    <cellStyle name="Heading 1" xfId="413" builtinId="16"/>
    <cellStyle name="Title 2" xfId="414"/>
    <cellStyle name="Normal 2 2 5" xfId="415"/>
    <cellStyle name="AtlasNormalBorder" xfId="416"/>
    <cellStyle name="Comma 2 4" xfId="417"/>
    <cellStyle name="Normal 49" xfId="418"/>
    <cellStyle name="Title" xfId="419" builtinId="1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Relationship Type="http://schemas.microsoft.com/office/2006/relationships/vbaProject" Target="vbaProject.bin" Id="rId2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7963814948264654"/>
          <y val="0.01037809848984916"/>
          <w val="0.9920361850517266"/>
          <h val="0.8549595578201334"/>
        </manualLayout>
      </layout>
      <barChart>
        <barDir val="col"/>
        <grouping val="stacked"/>
        <varyColors val="0"/>
        <ser>
          <idx val="0"/>
          <order val="0"/>
          <spPr>
            <a:noFill/>
            <a:ln>
              <a:noFill/>
              <a:prstDash val="solid"/>
            </a:ln>
          </spPr>
          <invertIfNegative val="0"/>
          <cat>
            <strRef>
              <f>LBO!$B$479:$B$485</f>
              <strCache>
                <ptCount val="7"/>
                <pt idx="0">
                  <v>Entry equity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Total Equity on Exit</v>
                </pt>
              </strCache>
            </strRef>
          </cat>
          <val>
            <numRef>
              <f>LBO!$D$479:$D$485</f>
              <numCache>
                <formatCode xml:space="preserve">#,##0.0\ ;\(#,##0.0\);\ \-\ </formatCode>
                <ptCount val="7"/>
                <pt idx="0">
                  <v>0</v>
                </pt>
                <pt idx="1">
                  <v>5.607595342036639</v>
                </pt>
                <pt idx="2">
                  <v>5.607595342036639</v>
                </pt>
                <pt idx="3">
                  <v>48.05383424498316</v>
                </pt>
                <pt idx="4">
                  <v>23.85805613136024</v>
                </pt>
                <pt idx="5">
                  <v>22.24709808249614</v>
                </pt>
                <pt idx="6">
                  <v>0</v>
                </pt>
              </numCache>
            </numRef>
          </val>
        </ser>
        <ser>
          <idx val="1"/>
          <order val="1"/>
          <spPr>
            <a:solidFill>
              <a:schemeClr val="accent1"/>
            </a:solidFill>
            <a:ln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LBO!$B$479:$B$485</f>
              <strCache>
                <ptCount val="7"/>
                <pt idx="0">
                  <v>Entry equity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Total Equity on Exit</v>
                </pt>
              </strCache>
            </strRef>
          </cat>
          <val>
            <numRef>
              <f>LBO!$E$479:$E$485</f>
              <numCache>
                <formatCode xml:space="preserve">#,##0.0\ ;\(#,##0.0\);\ \-\ </formatCode>
                <ptCount val="7"/>
                <pt idx="0">
                  <v>7.958029358572745</v>
                </pt>
                <pt idx="1">
                  <v>2.350434016536105</v>
                </pt>
                <pt idx="2">
                  <v>49.24135671887328</v>
                </pt>
                <pt idx="3">
                  <v>6.795117815926763</v>
                </pt>
                <pt idx="4">
                  <v>24.19577811362291</v>
                </pt>
                <pt idx="5">
                  <v>1.610958048864104</v>
                </pt>
                <pt idx="6">
                  <v>22.24709808249614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38685696"/>
        <axId val="438687232"/>
      </barChart>
      <catAx>
        <axId val="43868569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438687232"/>
        <crosses val="autoZero"/>
        <auto val="1"/>
        <lblAlgn val="ctr"/>
        <lblOffset val="100"/>
        <noMultiLvlLbl val="0"/>
      </catAx>
      <valAx>
        <axId val="438687232"/>
        <scaling>
          <orientation val="minMax"/>
        </scaling>
        <delete val="1"/>
        <axPos val="l"/>
        <numFmt formatCode="#,##0.0\ ;\(#,##0.0\);\ \-\ " sourceLinked="1"/>
        <majorTickMark val="out"/>
        <minorTickMark val="none"/>
        <crossAx val="438685696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7963814948264654"/>
          <y val="0.01037809848984916"/>
          <w val="0.9920361850517266"/>
          <h val="0.8549595578201334"/>
        </manualLayout>
      </layout>
      <barChart>
        <barDir val="col"/>
        <grouping val="stacked"/>
        <varyColors val="0"/>
        <ser>
          <idx val="0"/>
          <order val="0"/>
          <spPr>
            <a:noFill/>
            <a:ln>
              <a:noFill/>
              <a:prstDash val="solid"/>
            </a:ln>
          </spPr>
          <invertIfNegative val="0"/>
          <cat>
            <strRef>
              <f>LBO!$B$496:$B$502</f>
              <strCache>
                <ptCount val="7"/>
                <pt idx="0">
                  <v>MOIC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MOIC (incl. equity injections)</v>
                </pt>
              </strCache>
            </strRef>
          </cat>
          <val>
            <numRef>
              <f>LBO!$D$496:$D$502</f>
              <numCache>
                <formatCode>0.0"x";\(0.0"x"\);"-"</formatCode>
                <ptCount val="7"/>
                <pt idx="0">
                  <v>0</v>
                </pt>
                <pt idx="1">
                  <v>0.7046462245073131</v>
                </pt>
                <pt idx="2">
                  <v>0.7046462245073131</v>
                </pt>
                <pt idx="3">
                  <v>6.038408766765533</v>
                </pt>
                <pt idx="4">
                  <v>2.997985437897295</v>
                </pt>
                <pt idx="5">
                  <v>2.79555365783246</v>
                </pt>
                <pt idx="6">
                  <v>0</v>
                </pt>
              </numCache>
            </numRef>
          </val>
        </ser>
        <ser>
          <idx val="1"/>
          <order val="1"/>
          <spPr>
            <a:solidFill>
              <a:schemeClr val="accent1"/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LBO!$B$496:$B$502</f>
              <strCache>
                <ptCount val="7"/>
                <pt idx="0">
                  <v>MOIC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MOIC (incl. equity injections)</v>
                </pt>
              </strCache>
            </strRef>
          </cat>
          <val>
            <numRef>
              <f>LBO!$E$496:$E$502</f>
              <numCache>
                <formatCode>0.0"x";\(0.0"x"\);"-"</formatCode>
                <ptCount val="7"/>
                <pt idx="0">
                  <v>1</v>
                </pt>
                <pt idx="1">
                  <v>0.2953537754926869</v>
                </pt>
                <pt idx="2">
                  <v>6.187631950091802</v>
                </pt>
                <pt idx="3">
                  <v>0.8538694078335811</v>
                </pt>
                <pt idx="4">
                  <v>3.040423328868238</v>
                </pt>
                <pt idx="5">
                  <v>0.2024317800648358</v>
                </pt>
                <pt idx="6">
                  <v>2.79555365783246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38685696"/>
        <axId val="438687232"/>
      </barChart>
      <catAx>
        <axId val="43868569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438687232"/>
        <crosses val="autoZero"/>
        <auto val="1"/>
        <lblAlgn val="ctr"/>
        <lblOffset val="100"/>
        <noMultiLvlLbl val="0"/>
      </catAx>
      <valAx>
        <axId val="438687232"/>
        <scaling>
          <orientation val="minMax"/>
        </scaling>
        <delete val="1"/>
        <axPos val="l"/>
        <numFmt formatCode="0.0&quot;x&quot;;\(0.0&quot;x&quot;\);&quot;-&quot;" sourceLinked="1"/>
        <majorTickMark val="out"/>
        <minorTickMark val="none"/>
        <crossAx val="438685696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7963814948264654"/>
          <y val="0.01037809848984916"/>
          <w val="0.9920361850517266"/>
          <h val="0.8549595578201334"/>
        </manualLayout>
      </layout>
      <barChart>
        <barDir val="col"/>
        <grouping val="stacked"/>
        <varyColors val="0"/>
        <ser>
          <idx val="0"/>
          <order val="0"/>
          <spPr>
            <a:noFill/>
            <a:ln>
              <a:noFill/>
              <a:prstDash val="solid"/>
            </a:ln>
          </spPr>
          <invertIfNegative val="0"/>
          <cat>
            <strRef>
              <f>LBO!$B$496:$B$502</f>
              <strCache>
                <ptCount val="7"/>
                <pt idx="0">
                  <v>MOIC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MOIC (incl. equity injections)</v>
                </pt>
              </strCache>
            </strRef>
          </cat>
          <val>
            <numRef>
              <f>LBO!$D$496:$D$502</f>
              <numCache>
                <formatCode>0.0"x";\(0.0"x"\);"-"</formatCode>
                <ptCount val="7"/>
                <pt idx="0">
                  <v>0</v>
                </pt>
                <pt idx="1">
                  <v>0.7046462245073131</v>
                </pt>
                <pt idx="2">
                  <v>0.7046462245073131</v>
                </pt>
                <pt idx="3">
                  <v>6.038408766765533</v>
                </pt>
                <pt idx="4">
                  <v>2.997985437897295</v>
                </pt>
                <pt idx="5">
                  <v>2.79555365783246</v>
                </pt>
                <pt idx="6">
                  <v>0</v>
                </pt>
              </numCache>
            </numRef>
          </val>
        </ser>
        <ser>
          <idx val="1"/>
          <order val="1"/>
          <spPr>
            <a:solidFill>
              <a:schemeClr val="accent1"/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LBO!$B$496:$B$502</f>
              <strCache>
                <ptCount val="7"/>
                <pt idx="0">
                  <v>MOIC (incl. equity injections)</v>
                </pt>
                <pt idx="1">
                  <v>EBITDA margin expansion</v>
                </pt>
                <pt idx="2">
                  <v>Revenue growth</v>
                </pt>
                <pt idx="3">
                  <v>Multiple expansion</v>
                </pt>
                <pt idx="4">
                  <v>Cash generation</v>
                </pt>
                <pt idx="5">
                  <v>Transaction fees</v>
                </pt>
                <pt idx="6">
                  <v>MOIC (incl. equity injections)</v>
                </pt>
              </strCache>
            </strRef>
          </cat>
          <val>
            <numRef>
              <f>LBO!$E$496:$E$502</f>
              <numCache>
                <formatCode>0.0"x";\(0.0"x"\);"-"</formatCode>
                <ptCount val="7"/>
                <pt idx="0">
                  <v>1</v>
                </pt>
                <pt idx="1">
                  <v>0.2953537754926869</v>
                </pt>
                <pt idx="2">
                  <v>6.187631950091802</v>
                </pt>
                <pt idx="3">
                  <v>0.8538694078335811</v>
                </pt>
                <pt idx="4">
                  <v>3.040423328868238</v>
                </pt>
                <pt idx="5">
                  <v>0.2024317800648358</v>
                </pt>
                <pt idx="6">
                  <v>2.79555365783246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38685696"/>
        <axId val="438687232"/>
      </barChart>
      <catAx>
        <axId val="43868569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438687232"/>
        <crosses val="autoZero"/>
        <auto val="1"/>
        <lblAlgn val="ctr"/>
        <lblOffset val="100"/>
        <noMultiLvlLbl val="0"/>
      </catAx>
      <valAx>
        <axId val="438687232"/>
        <scaling>
          <orientation val="minMax"/>
        </scaling>
        <delete val="1"/>
        <axPos val="l"/>
        <numFmt formatCode="0.0&quot;x&quot;;\(0.0&quot;x&quot;\);&quot;-&quot;" sourceLinked="1"/>
        <majorTickMark val="out"/>
        <minorTickMark val="none"/>
        <crossAx val="438685696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tc={78307B0A-909B-4140-BE03-BB23255370D6}</author>
    <author>tc={40238095-E1FA-4051-B50D-8C8DFC5373AB}</author>
    <author>tc={ABF8779F-344E-495D-9523-2E34BBA4AD33}</author>
    <author>tc={1D9753E0-E036-46BB-9D1F-AF5B76AD7845}</author>
    <author>tc={F4CD0943-ED54-40C3-98FD-FD5A69586DFE}</author>
    <author>tc={761653F5-D10E-473E-BB1B-C67F855DED30}</author>
    <author>Igor Gawron</author>
    <author>tc={08FA4599-84C0-410C-9DAF-2C188FE7293F}</author>
    <author>tc={6085EFD6-DD1E-4FDC-98BC-75D91F183044}</author>
  </authors>
  <commentList>
    <comment ref="L1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UK deals. Set to zero or amend for non-UK</t>
      </text>
    </comment>
    <comment ref="L1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UK deals. Set to zero or amend for non-UK</t>
      </text>
    </comment>
    <comment ref="I1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Greater of 3% EBITDA and £100k</t>
      </text>
    </comment>
    <comment ref="I2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of funding mix. If want to change the mix change the nominal share cap in L21</t>
      </text>
    </comment>
    <comment ref="G28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Assumes overfund is Blixt equity-funded. Alternatively, can debt-fund through RCF in cell H243</t>
      </text>
    </comment>
    <comment ref="N6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Funded at closing. Assumption that is refinanced in year 1 with ACF via cell H263</t>
      </text>
    </comment>
    <comment ref="I218" authorId="6" shapeId="0">
      <text>
        <t>Igor Gawron:
If bough later then 6m into the year no mgmt. fee in Y1</t>
      </text>
    </comment>
    <comment ref="B24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Assumes tax shield beenfit from VLN</t>
      </text>
    </comment>
    <comment ref="H287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PR LN. Modelled assumption that this is refi'd within year 1</t>
      </text>
    </comment>
  </commentList>
</comments>
</file>

<file path=xl/comments/comment2.xml><?xml version="1.0" encoding="utf-8"?>
<comments xmlns="http://schemas.openxmlformats.org/spreadsheetml/2006/main">
  <authors>
    <author>tc={4B5E3156-979E-415D-8EF5-5A6DDE26F894}</author>
    <author>tc={7EA07D4F-D833-49B3-86CC-7D025290044B}</author>
    <author>tc={8E7080AE-9D49-47D4-B4C4-ED9EBBC0C450}</author>
  </authors>
  <commentList>
    <comment ref="AO4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 rent balance due to:
Write off of trade creditor for rental payments due R McDonald (T/A Rim Fabrications) - £217,820 net, £261,384 gross.</t>
      </text>
    </comment>
    <comment ref="AY6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eClad accountancy costs - £9500 - paid by eBlast.</t>
      </text>
    </comment>
    <comment ref="BC68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eFab - external bad debts - £16,520
eFab - b/f balance in provisions P&amp;L code in error - written off - £86,412.
eBlast - external bad debt provision movement (£10,484).
eClad - accountancy fees paid by eBlast £9,500
Immaterial difference - (£1083).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168089</colOff>
      <row>468</row>
      <rowOff>156881</rowOff>
    </from>
    <to>
      <col>15</col>
      <colOff>28815</colOff>
      <row>485</row>
      <rowOff>100853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179295</colOff>
      <row>486</row>
      <rowOff>0</rowOff>
    </from>
    <to>
      <col>15</col>
      <colOff>40021</colOff>
      <row>501</row>
      <rowOff>134472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49480</colOff>
      <row>44</row>
      <rowOff>74222</rowOff>
    </from>
    <to>
      <col>26</col>
      <colOff>395844</colOff>
      <row>57</row>
      <rowOff>98962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blixtgroup.sharepoint.com/sites/BlixtGroupLTD/Shared%20Documents/4.%20Deals/2.%20Screening%20and%20Prospects/1.%20Prospects/20251204%20-%20Project%20Bora/2.%20Company%20information/May%20update/1.1%202026%20eGroup%20Consolidated%20Ltd%20Financial%20Statements%20-%20March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sol P&amp;L Month"/>
      <sheetName val="Consol P&amp;L YTD"/>
      <sheetName val="Consol BS Month"/>
      <sheetName val="Consol Cashflow"/>
    </sheetNames>
    <sheetDataSet>
      <sheetData sheetId="0"/>
      <sheetData sheetId="1"/>
      <sheetData sheetId="2">
        <row r="24">
          <cell r="D24">
            <v>2409893.3000000035</v>
          </cell>
          <cell r="F24">
            <v>217210.34000000043</v>
          </cell>
          <cell r="G24">
            <v>63414.360000000015</v>
          </cell>
          <cell r="I24">
            <v>2690518.0000000037</v>
          </cell>
        </row>
        <row r="25">
          <cell r="D25">
            <v>-5.6843418860808015E-14</v>
          </cell>
          <cell r="F25">
            <v>755.51999999999975</v>
          </cell>
          <cell r="G25">
            <v>0</v>
          </cell>
          <cell r="I25">
            <v>755.51999999999975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vmlDrawing2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8:J48"/>
  <sheetViews>
    <sheetView workbookViewId="0">
      <selection activeCell="A1" sqref="A1"/>
    </sheetView>
  </sheetViews>
  <sheetFormatPr baseColWidth="8" defaultRowHeight="12.75"/>
  <cols>
    <col width="3.140625" customWidth="1" style="1" min="1" max="1"/>
    <col width="2.28515625" customWidth="1" style="1" min="2" max="2"/>
    <col width="9.140625" customWidth="1" style="1" min="3" max="256"/>
    <col width="3.140625" customWidth="1" style="1" min="257" max="257"/>
    <col width="11.7109375" bestFit="1" customWidth="1" style="1" min="258" max="258"/>
    <col width="9.140625" customWidth="1" style="1" min="259" max="512"/>
    <col width="3.140625" customWidth="1" style="1" min="513" max="513"/>
    <col width="11.7109375" bestFit="1" customWidth="1" style="1" min="514" max="514"/>
    <col width="9.140625" customWidth="1" style="1" min="515" max="768"/>
    <col width="3.140625" customWidth="1" style="1" min="769" max="769"/>
    <col width="11.7109375" bestFit="1" customWidth="1" style="1" min="770" max="770"/>
    <col width="9.140625" customWidth="1" style="1" min="771" max="1024"/>
    <col width="3.140625" customWidth="1" style="1" min="1025" max="1025"/>
    <col width="11.7109375" bestFit="1" customWidth="1" style="1" min="1026" max="1026"/>
    <col width="9.140625" customWidth="1" style="1" min="1027" max="1280"/>
    <col width="3.140625" customWidth="1" style="1" min="1281" max="1281"/>
    <col width="11.7109375" bestFit="1" customWidth="1" style="1" min="1282" max="1282"/>
    <col width="9.140625" customWidth="1" style="1" min="1283" max="1536"/>
    <col width="3.140625" customWidth="1" style="1" min="1537" max="1537"/>
    <col width="11.7109375" bestFit="1" customWidth="1" style="1" min="1538" max="1538"/>
    <col width="9.140625" customWidth="1" style="1" min="1539" max="1792"/>
    <col width="3.140625" customWidth="1" style="1" min="1793" max="1793"/>
    <col width="11.7109375" bestFit="1" customWidth="1" style="1" min="1794" max="1794"/>
    <col width="9.140625" customWidth="1" style="1" min="1795" max="2048"/>
    <col width="3.140625" customWidth="1" style="1" min="2049" max="2049"/>
    <col width="11.7109375" bestFit="1" customWidth="1" style="1" min="2050" max="2050"/>
    <col width="9.140625" customWidth="1" style="1" min="2051" max="2304"/>
    <col width="3.140625" customWidth="1" style="1" min="2305" max="2305"/>
    <col width="11.7109375" bestFit="1" customWidth="1" style="1" min="2306" max="2306"/>
    <col width="9.140625" customWidth="1" style="1" min="2307" max="2560"/>
    <col width="3.140625" customWidth="1" style="1" min="2561" max="2561"/>
    <col width="11.7109375" bestFit="1" customWidth="1" style="1" min="2562" max="2562"/>
    <col width="9.140625" customWidth="1" style="1" min="2563" max="2816"/>
    <col width="3.140625" customWidth="1" style="1" min="2817" max="2817"/>
    <col width="11.7109375" bestFit="1" customWidth="1" style="1" min="2818" max="2818"/>
    <col width="9.140625" customWidth="1" style="1" min="2819" max="3072"/>
    <col width="3.140625" customWidth="1" style="1" min="3073" max="3073"/>
    <col width="11.7109375" bestFit="1" customWidth="1" style="1" min="3074" max="3074"/>
    <col width="9.140625" customWidth="1" style="1" min="3075" max="3328"/>
    <col width="3.140625" customWidth="1" style="1" min="3329" max="3329"/>
    <col width="11.7109375" bestFit="1" customWidth="1" style="1" min="3330" max="3330"/>
    <col width="9.140625" customWidth="1" style="1" min="3331" max="3584"/>
    <col width="3.140625" customWidth="1" style="1" min="3585" max="3585"/>
    <col width="11.7109375" bestFit="1" customWidth="1" style="1" min="3586" max="3586"/>
    <col width="9.140625" customWidth="1" style="1" min="3587" max="3840"/>
    <col width="3.140625" customWidth="1" style="1" min="3841" max="3841"/>
    <col width="11.7109375" bestFit="1" customWidth="1" style="1" min="3842" max="3842"/>
    <col width="9.140625" customWidth="1" style="1" min="3843" max="4096"/>
    <col width="3.140625" customWidth="1" style="1" min="4097" max="4097"/>
    <col width="11.7109375" bestFit="1" customWidth="1" style="1" min="4098" max="4098"/>
    <col width="9.140625" customWidth="1" style="1" min="4099" max="4352"/>
    <col width="3.140625" customWidth="1" style="1" min="4353" max="4353"/>
    <col width="11.7109375" bestFit="1" customWidth="1" style="1" min="4354" max="4354"/>
    <col width="9.140625" customWidth="1" style="1" min="4355" max="4608"/>
    <col width="3.140625" customWidth="1" style="1" min="4609" max="4609"/>
    <col width="11.7109375" bestFit="1" customWidth="1" style="1" min="4610" max="4610"/>
    <col width="9.140625" customWidth="1" style="1" min="4611" max="4864"/>
    <col width="3.140625" customWidth="1" style="1" min="4865" max="4865"/>
    <col width="11.7109375" bestFit="1" customWidth="1" style="1" min="4866" max="4866"/>
    <col width="9.140625" customWidth="1" style="1" min="4867" max="5120"/>
    <col width="3.140625" customWidth="1" style="1" min="5121" max="5121"/>
    <col width="11.7109375" bestFit="1" customWidth="1" style="1" min="5122" max="5122"/>
    <col width="9.140625" customWidth="1" style="1" min="5123" max="5376"/>
    <col width="3.140625" customWidth="1" style="1" min="5377" max="5377"/>
    <col width="11.7109375" bestFit="1" customWidth="1" style="1" min="5378" max="5378"/>
    <col width="9.140625" customWidth="1" style="1" min="5379" max="5632"/>
    <col width="3.140625" customWidth="1" style="1" min="5633" max="5633"/>
    <col width="11.7109375" bestFit="1" customWidth="1" style="1" min="5634" max="5634"/>
    <col width="9.140625" customWidth="1" style="1" min="5635" max="5888"/>
    <col width="3.140625" customWidth="1" style="1" min="5889" max="5889"/>
    <col width="11.7109375" bestFit="1" customWidth="1" style="1" min="5890" max="5890"/>
    <col width="9.140625" customWidth="1" style="1" min="5891" max="6144"/>
    <col width="3.140625" customWidth="1" style="1" min="6145" max="6145"/>
    <col width="11.7109375" bestFit="1" customWidth="1" style="1" min="6146" max="6146"/>
    <col width="9.140625" customWidth="1" style="1" min="6147" max="6400"/>
    <col width="3.140625" customWidth="1" style="1" min="6401" max="6401"/>
    <col width="11.7109375" bestFit="1" customWidth="1" style="1" min="6402" max="6402"/>
    <col width="9.140625" customWidth="1" style="1" min="6403" max="6656"/>
    <col width="3.140625" customWidth="1" style="1" min="6657" max="6657"/>
    <col width="11.7109375" bestFit="1" customWidth="1" style="1" min="6658" max="6658"/>
    <col width="9.140625" customWidth="1" style="1" min="6659" max="6912"/>
    <col width="3.140625" customWidth="1" style="1" min="6913" max="6913"/>
    <col width="11.7109375" bestFit="1" customWidth="1" style="1" min="6914" max="6914"/>
    <col width="9.140625" customWidth="1" style="1" min="6915" max="7168"/>
    <col width="3.140625" customWidth="1" style="1" min="7169" max="7169"/>
    <col width="11.7109375" bestFit="1" customWidth="1" style="1" min="7170" max="7170"/>
    <col width="9.140625" customWidth="1" style="1" min="7171" max="7424"/>
    <col width="3.140625" customWidth="1" style="1" min="7425" max="7425"/>
    <col width="11.7109375" bestFit="1" customWidth="1" style="1" min="7426" max="7426"/>
    <col width="9.140625" customWidth="1" style="1" min="7427" max="7680"/>
    <col width="3.140625" customWidth="1" style="1" min="7681" max="7681"/>
    <col width="11.7109375" bestFit="1" customWidth="1" style="1" min="7682" max="7682"/>
    <col width="9.140625" customWidth="1" style="1" min="7683" max="7936"/>
    <col width="3.140625" customWidth="1" style="1" min="7937" max="7937"/>
    <col width="11.7109375" bestFit="1" customWidth="1" style="1" min="7938" max="7938"/>
    <col width="9.140625" customWidth="1" style="1" min="7939" max="8192"/>
    <col width="3.140625" customWidth="1" style="1" min="8193" max="8193"/>
    <col width="11.7109375" bestFit="1" customWidth="1" style="1" min="8194" max="8194"/>
    <col width="9.140625" customWidth="1" style="1" min="8195" max="8448"/>
    <col width="3.140625" customWidth="1" style="1" min="8449" max="8449"/>
    <col width="11.7109375" bestFit="1" customWidth="1" style="1" min="8450" max="8450"/>
    <col width="9.140625" customWidth="1" style="1" min="8451" max="8704"/>
    <col width="3.140625" customWidth="1" style="1" min="8705" max="8705"/>
    <col width="11.7109375" bestFit="1" customWidth="1" style="1" min="8706" max="8706"/>
    <col width="9.140625" customWidth="1" style="1" min="8707" max="8960"/>
    <col width="3.140625" customWidth="1" style="1" min="8961" max="8961"/>
    <col width="11.7109375" bestFit="1" customWidth="1" style="1" min="8962" max="8962"/>
    <col width="9.140625" customWidth="1" style="1" min="8963" max="9216"/>
    <col width="3.140625" customWidth="1" style="1" min="9217" max="9217"/>
    <col width="11.7109375" bestFit="1" customWidth="1" style="1" min="9218" max="9218"/>
    <col width="9.140625" customWidth="1" style="1" min="9219" max="9472"/>
    <col width="3.140625" customWidth="1" style="1" min="9473" max="9473"/>
    <col width="11.7109375" bestFit="1" customWidth="1" style="1" min="9474" max="9474"/>
    <col width="9.140625" customWidth="1" style="1" min="9475" max="9728"/>
    <col width="3.140625" customWidth="1" style="1" min="9729" max="9729"/>
    <col width="11.7109375" bestFit="1" customWidth="1" style="1" min="9730" max="9730"/>
    <col width="9.140625" customWidth="1" style="1" min="9731" max="9984"/>
    <col width="3.140625" customWidth="1" style="1" min="9985" max="9985"/>
    <col width="11.7109375" bestFit="1" customWidth="1" style="1" min="9986" max="9986"/>
    <col width="9.140625" customWidth="1" style="1" min="9987" max="10240"/>
    <col width="3.140625" customWidth="1" style="1" min="10241" max="10241"/>
    <col width="11.7109375" bestFit="1" customWidth="1" style="1" min="10242" max="10242"/>
    <col width="9.140625" customWidth="1" style="1" min="10243" max="10496"/>
    <col width="3.140625" customWidth="1" style="1" min="10497" max="10497"/>
    <col width="11.7109375" bestFit="1" customWidth="1" style="1" min="10498" max="10498"/>
    <col width="9.140625" customWidth="1" style="1" min="10499" max="10752"/>
    <col width="3.140625" customWidth="1" style="1" min="10753" max="10753"/>
    <col width="11.7109375" bestFit="1" customWidth="1" style="1" min="10754" max="10754"/>
    <col width="9.140625" customWidth="1" style="1" min="10755" max="11008"/>
    <col width="3.140625" customWidth="1" style="1" min="11009" max="11009"/>
    <col width="11.7109375" bestFit="1" customWidth="1" style="1" min="11010" max="11010"/>
    <col width="9.140625" customWidth="1" style="1" min="11011" max="11264"/>
    <col width="3.140625" customWidth="1" style="1" min="11265" max="11265"/>
    <col width="11.7109375" bestFit="1" customWidth="1" style="1" min="11266" max="11266"/>
    <col width="9.140625" customWidth="1" style="1" min="11267" max="11520"/>
    <col width="3.140625" customWidth="1" style="1" min="11521" max="11521"/>
    <col width="11.7109375" bestFit="1" customWidth="1" style="1" min="11522" max="11522"/>
    <col width="9.140625" customWidth="1" style="1" min="11523" max="11776"/>
    <col width="3.140625" customWidth="1" style="1" min="11777" max="11777"/>
    <col width="11.7109375" bestFit="1" customWidth="1" style="1" min="11778" max="11778"/>
    <col width="9.140625" customWidth="1" style="1" min="11779" max="12032"/>
    <col width="3.140625" customWidth="1" style="1" min="12033" max="12033"/>
    <col width="11.7109375" bestFit="1" customWidth="1" style="1" min="12034" max="12034"/>
    <col width="9.140625" customWidth="1" style="1" min="12035" max="12288"/>
    <col width="3.140625" customWidth="1" style="1" min="12289" max="12289"/>
    <col width="11.7109375" bestFit="1" customWidth="1" style="1" min="12290" max="12290"/>
    <col width="9.140625" customWidth="1" style="1" min="12291" max="12544"/>
    <col width="3.140625" customWidth="1" style="1" min="12545" max="12545"/>
    <col width="11.7109375" bestFit="1" customWidth="1" style="1" min="12546" max="12546"/>
    <col width="9.140625" customWidth="1" style="1" min="12547" max="12800"/>
    <col width="3.140625" customWidth="1" style="1" min="12801" max="12801"/>
    <col width="11.7109375" bestFit="1" customWidth="1" style="1" min="12802" max="12802"/>
    <col width="9.140625" customWidth="1" style="1" min="12803" max="13056"/>
    <col width="3.140625" customWidth="1" style="1" min="13057" max="13057"/>
    <col width="11.7109375" bestFit="1" customWidth="1" style="1" min="13058" max="13058"/>
    <col width="9.140625" customWidth="1" style="1" min="13059" max="13312"/>
    <col width="3.140625" customWidth="1" style="1" min="13313" max="13313"/>
    <col width="11.7109375" bestFit="1" customWidth="1" style="1" min="13314" max="13314"/>
    <col width="9.140625" customWidth="1" style="1" min="13315" max="13568"/>
    <col width="3.140625" customWidth="1" style="1" min="13569" max="13569"/>
    <col width="11.7109375" bestFit="1" customWidth="1" style="1" min="13570" max="13570"/>
    <col width="9.140625" customWidth="1" style="1" min="13571" max="13824"/>
    <col width="3.140625" customWidth="1" style="1" min="13825" max="13825"/>
    <col width="11.7109375" bestFit="1" customWidth="1" style="1" min="13826" max="13826"/>
    <col width="9.140625" customWidth="1" style="1" min="13827" max="14080"/>
    <col width="3.140625" customWidth="1" style="1" min="14081" max="14081"/>
    <col width="11.7109375" bestFit="1" customWidth="1" style="1" min="14082" max="14082"/>
    <col width="9.140625" customWidth="1" style="1" min="14083" max="14336"/>
    <col width="3.140625" customWidth="1" style="1" min="14337" max="14337"/>
    <col width="11.7109375" bestFit="1" customWidth="1" style="1" min="14338" max="14338"/>
    <col width="9.140625" customWidth="1" style="1" min="14339" max="14592"/>
    <col width="3.140625" customWidth="1" style="1" min="14593" max="14593"/>
    <col width="11.7109375" bestFit="1" customWidth="1" style="1" min="14594" max="14594"/>
    <col width="9.140625" customWidth="1" style="1" min="14595" max="14848"/>
    <col width="3.140625" customWidth="1" style="1" min="14849" max="14849"/>
    <col width="11.7109375" bestFit="1" customWidth="1" style="1" min="14850" max="14850"/>
    <col width="9.140625" customWidth="1" style="1" min="14851" max="15104"/>
    <col width="3.140625" customWidth="1" style="1" min="15105" max="15105"/>
    <col width="11.7109375" bestFit="1" customWidth="1" style="1" min="15106" max="15106"/>
    <col width="9.140625" customWidth="1" style="1" min="15107" max="15360"/>
    <col width="3.140625" customWidth="1" style="1" min="15361" max="15361"/>
    <col width="11.7109375" bestFit="1" customWidth="1" style="1" min="15362" max="15362"/>
    <col width="9.140625" customWidth="1" style="1" min="15363" max="15616"/>
    <col width="3.140625" customWidth="1" style="1" min="15617" max="15617"/>
    <col width="11.7109375" bestFit="1" customWidth="1" style="1" min="15618" max="15618"/>
    <col width="9.140625" customWidth="1" style="1" min="15619" max="15872"/>
    <col width="3.140625" customWidth="1" style="1" min="15873" max="15873"/>
    <col width="11.7109375" bestFit="1" customWidth="1" style="1" min="15874" max="15874"/>
    <col width="9.140625" customWidth="1" style="1" min="15875" max="16128"/>
    <col width="3.140625" customWidth="1" style="1" min="16129" max="16129"/>
    <col width="11.7109375" bestFit="1" customWidth="1" style="1" min="16130" max="16130"/>
    <col width="9.140625" customWidth="1" style="1" min="16131" max="16384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>
      <c r="B8" s="1025">
        <f>"Project: "&amp;LBO!L13</f>
        <v/>
      </c>
    </row>
    <row r="9" ht="15" customFormat="1" customHeight="1" s="149">
      <c r="A9" s="165" t="n"/>
    </row>
    <row r="10" ht="15" customHeight="1"/>
    <row r="11" ht="15" customHeight="1">
      <c r="B11" s="1035">
        <f>NOW()</f>
        <v/>
      </c>
    </row>
    <row r="12" ht="15" customHeight="1"/>
    <row r="13" ht="15" customHeight="1"/>
    <row r="14" ht="15" customHeight="1"/>
    <row r="15" ht="15" customHeight="1"/>
    <row r="16" ht="15" customHeight="1">
      <c r="B16" s="3" t="inlineStr">
        <is>
          <t>Basic Instructions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15" customHeight="1">
      <c r="B17" s="2" t="n"/>
    </row>
    <row r="18" ht="15" customHeight="1">
      <c r="B18" s="1036" t="inlineStr">
        <is>
          <t>n</t>
        </is>
      </c>
      <c r="C18" s="168" t="inlineStr">
        <is>
          <t>Cells with yellow background and blue text represent inputs</t>
        </is>
      </c>
    </row>
    <row r="19" ht="15" customFormat="1" customHeight="1" s="1037">
      <c r="A19" s="1" t="n"/>
      <c r="B19" s="1036" t="inlineStr">
        <is>
          <t>n</t>
        </is>
      </c>
      <c r="C19" s="1038" t="inlineStr">
        <is>
          <t>Cells with black text represent formulas</t>
        </is>
      </c>
      <c r="D19" s="1039" t="n"/>
      <c r="E19" s="1039" t="n"/>
      <c r="F19" s="1039" t="n"/>
      <c r="G19" s="1039" t="n"/>
    </row>
    <row r="20" ht="15" customFormat="1" customHeight="1" s="1037">
      <c r="A20" s="1" t="n"/>
      <c r="B20" s="1036" t="inlineStr">
        <is>
          <t>n</t>
        </is>
      </c>
      <c r="C20" s="1038" t="inlineStr">
        <is>
          <t>To remove read onlygo to: File / Prepare / Mark as Final</t>
        </is>
      </c>
      <c r="D20" s="1039" t="n"/>
      <c r="E20" s="1039" t="n"/>
      <c r="F20" s="1039" t="n"/>
      <c r="G20" s="1039" t="n"/>
    </row>
    <row r="21" ht="15" customHeight="1">
      <c r="B21" s="1036" t="inlineStr">
        <is>
          <t>n</t>
        </is>
      </c>
      <c r="C21" s="172" t="inlineStr">
        <is>
          <t>Ensure iterative calculation is switched on (File / Excel Options / Formulas)</t>
        </is>
      </c>
      <c r="D21" s="172" t="n"/>
      <c r="E21" s="172" t="n"/>
      <c r="F21" s="172" t="n"/>
      <c r="G21" s="172" t="n"/>
    </row>
    <row r="22" ht="15" customHeight="1">
      <c r="B22" s="1036" t="inlineStr">
        <is>
          <t>n</t>
        </is>
      </c>
      <c r="C22" s="172" t="inlineStr">
        <is>
          <t>Enter Sources &amp; Uses cases in columns "Q" to "AE"</t>
        </is>
      </c>
      <c r="D22" s="172" t="n"/>
      <c r="E22" s="172" t="n"/>
      <c r="F22" s="172" t="n"/>
      <c r="G22" s="172" t="n"/>
    </row>
    <row r="23" ht="15" customHeight="1">
      <c r="B23" s="1036" t="inlineStr">
        <is>
          <t>n</t>
        </is>
      </c>
      <c r="C23" s="172">
        <f>"Circular reference fix is located in row "&amp;CELL("row",LBO!P338)</f>
        <v/>
      </c>
      <c r="D23" s="172" t="n"/>
      <c r="E23" s="172" t="n"/>
      <c r="F23" s="172" t="n"/>
      <c r="G23" s="172" t="n"/>
    </row>
    <row r="24" ht="15" customHeight="1">
      <c r="A24" s="1040" t="n"/>
      <c r="B24" s="172" t="n"/>
      <c r="C24" s="172" t="n"/>
      <c r="D24" s="172" t="n"/>
      <c r="E24" s="172" t="n"/>
      <c r="F24" s="172" t="n"/>
      <c r="G24" s="172" t="n"/>
    </row>
    <row r="25" ht="15" customHeight="1">
      <c r="A25" s="1040" t="n"/>
      <c r="B25" s="172" t="n"/>
      <c r="C25" s="172" t="n"/>
      <c r="D25" s="172" t="n"/>
      <c r="E25" s="172" t="n"/>
      <c r="F25" s="172" t="n"/>
      <c r="G25" s="172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</row>
    <row r="43" ht="15" customHeight="1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</row>
    <row r="44" ht="15" customHeight="1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</row>
    <row r="45" ht="15" customHeight="1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</row>
    <row r="46" ht="15" customHeight="1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</row>
    <row r="47" ht="15" customHeight="1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</row>
    <row r="48" ht="15" customHeight="1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</sheetData>
  <mergeCells count="2">
    <mergeCell ref="B11:I12"/>
    <mergeCell ref="B8:J9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I8"/>
  <sheetViews>
    <sheetView showGridLines="0" tabSelected="1" workbookViewId="0">
      <selection activeCell="O11" sqref="O11"/>
    </sheetView>
  </sheetViews>
  <sheetFormatPr baseColWidth="8" defaultRowHeight="15"/>
  <cols>
    <col width="11.5703125" bestFit="1" customWidth="1" min="3" max="3"/>
    <col width="13.28515625" bestFit="1" customWidth="1" min="4" max="5"/>
    <col width="15.140625" customWidth="1" min="6" max="6"/>
    <col width="14.85546875" customWidth="1" min="7" max="7"/>
    <col width="18.28515625" customWidth="1" min="8" max="8"/>
  </cols>
  <sheetData>
    <row r="3">
      <c r="C3" s="772" t="n">
        <v>45658</v>
      </c>
      <c r="D3" s="772" t="n">
        <v>45689</v>
      </c>
      <c r="E3" s="772" t="n">
        <v>45717</v>
      </c>
      <c r="F3" t="inlineStr">
        <is>
          <t>FY25</t>
        </is>
      </c>
      <c r="G3" t="inlineStr">
        <is>
          <t>YTD Mar-26</t>
        </is>
      </c>
      <c r="H3" t="inlineStr">
        <is>
          <t>LTM</t>
        </is>
      </c>
    </row>
    <row r="4">
      <c r="B4" t="inlineStr">
        <is>
          <t>Revenue</t>
        </is>
      </c>
      <c r="C4" s="1041">
        <f>'Consol P&amp;L'!AQ15</f>
        <v/>
      </c>
      <c r="D4" s="1041">
        <f>'Consol P&amp;L'!AR15</f>
        <v/>
      </c>
      <c r="E4" s="1041">
        <f>'Consol P&amp;L'!AS15</f>
        <v/>
      </c>
      <c r="F4" s="1041">
        <f>'Dec-25 LTM_P&amp;L'!J12</f>
        <v/>
      </c>
      <c r="G4" s="1041">
        <f>'Consol P&amp;L YTD'!I12</f>
        <v/>
      </c>
      <c r="H4" s="1042">
        <f>F4-SUM(C4:E4)+G4</f>
        <v/>
      </c>
      <c r="I4" s="1015">
        <f>H4/F4-1</f>
        <v/>
      </c>
    </row>
    <row r="5">
      <c r="C5" s="1041" t="n"/>
      <c r="D5" s="1041" t="n"/>
      <c r="E5" s="1041" t="n"/>
      <c r="F5" s="1041" t="n"/>
      <c r="G5" s="1041" t="n"/>
    </row>
    <row r="6">
      <c r="B6" t="inlineStr">
        <is>
          <t>GP</t>
        </is>
      </c>
      <c r="C6" s="1041">
        <f>'Consol P&amp;L'!AQ38</f>
        <v/>
      </c>
      <c r="D6" s="1041">
        <f>'Consol P&amp;L'!AR38</f>
        <v/>
      </c>
      <c r="E6" s="1041">
        <f>'Consol P&amp;L'!AS38</f>
        <v/>
      </c>
      <c r="F6" s="1041">
        <f>'Dec-25 LTM_P&amp;L'!J20</f>
        <v/>
      </c>
      <c r="G6" s="1041">
        <f>'Consol P&amp;L YTD'!I20</f>
        <v/>
      </c>
      <c r="H6" s="1042">
        <f>F6-SUM(C6:E6)+G6</f>
        <v/>
      </c>
      <c r="I6" s="1015">
        <f>H6/F6-1</f>
        <v/>
      </c>
    </row>
    <row r="8">
      <c r="B8" t="inlineStr">
        <is>
          <t>EBITDA</t>
        </is>
      </c>
      <c r="C8" s="1041">
        <f>'Consol P&amp;L'!AQ65</f>
        <v/>
      </c>
      <c r="D8" s="1041">
        <f>'Consol P&amp;L'!AR65</f>
        <v/>
      </c>
      <c r="E8" s="1041">
        <f>'Consol P&amp;L'!AS65</f>
        <v/>
      </c>
      <c r="F8" s="1041">
        <f>'Dec-25 LTM_P&amp;L'!K28</f>
        <v/>
      </c>
      <c r="G8" s="1041">
        <f>'Consol P&amp;L YTD'!I28</f>
        <v/>
      </c>
      <c r="H8" s="1042">
        <f>F8-SUM(C8:E8)+G8</f>
        <v/>
      </c>
      <c r="I8" s="1015">
        <f>H8/F8-1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K584"/>
  <sheetViews>
    <sheetView showGridLines="0" topLeftCell="A165" zoomScale="82" zoomScaleNormal="82" workbookViewId="0">
      <selection activeCell="J208" sqref="J208"/>
    </sheetView>
  </sheetViews>
  <sheetFormatPr baseColWidth="8" defaultColWidth="10.7109375" defaultRowHeight="12" customHeight="1" outlineLevelRow="1"/>
  <cols>
    <col width="5.5703125" bestFit="1" customWidth="1" style="1" min="1" max="1"/>
    <col width="12" customWidth="1" style="1" min="2" max="2"/>
    <col width="16" customWidth="1" style="1" min="3" max="3"/>
    <col width="10.7109375" customWidth="1" style="1" min="4" max="4"/>
    <col width="11.7109375" customWidth="1" style="1" min="5" max="5"/>
    <col width="13.28515625" bestFit="1" customWidth="1" style="1" min="6" max="6"/>
    <col width="10.7109375" customWidth="1" style="1" min="7" max="8"/>
    <col width="10.7109375" customWidth="1" style="1" min="9" max="10"/>
    <col width="10.7109375" customWidth="1" style="1" min="11" max="11"/>
    <col width="12" customWidth="1" style="1" min="12" max="12"/>
    <col width="10.7109375" customWidth="1" style="1" min="13" max="16"/>
    <col width="7.85546875" customWidth="1" style="1" min="17" max="17"/>
    <col width="11" customWidth="1" style="1" min="18" max="18"/>
    <col width="10.7109375" customWidth="1" style="1" min="19" max="19"/>
    <col width="2.42578125" customWidth="1" style="1" min="20" max="20"/>
    <col width="18.5703125" customWidth="1" style="1" min="21" max="21"/>
    <col width="10.7109375" customWidth="1" style="1" min="22" max="24"/>
    <col width="9.7109375" customWidth="1" style="1" min="25" max="26"/>
    <col width="10.7109375" customWidth="1" style="1" min="27" max="16384"/>
  </cols>
  <sheetData>
    <row r="1" ht="12.75" customHeight="1">
      <c r="A1" s="314" t="n"/>
      <c r="D1" s="314" t="n"/>
      <c r="E1" s="313" t="n"/>
      <c r="F1" s="287" t="n"/>
      <c r="I1" s="315" t="n"/>
      <c r="J1" s="287" t="n"/>
      <c r="O1" s="287" t="n"/>
    </row>
    <row r="2" ht="3" customHeight="1">
      <c r="A2" s="289" t="n"/>
      <c r="B2" s="289" t="n"/>
      <c r="C2" s="1043" t="n"/>
      <c r="D2" s="289" t="n"/>
      <c r="E2" s="142" t="n"/>
      <c r="G2" s="289" t="n"/>
      <c r="H2" s="291" t="n"/>
      <c r="I2" s="289" t="n"/>
      <c r="J2" s="1044" t="n"/>
      <c r="K2" s="289" t="n"/>
      <c r="L2" s="289" t="n"/>
      <c r="M2" s="289" t="n"/>
      <c r="N2" s="289" t="n"/>
      <c r="O2" s="289" t="n"/>
      <c r="P2" s="289" t="n"/>
    </row>
    <row r="3" ht="15" customHeight="1">
      <c r="B3" s="2">
        <f>Cover!$B$8</f>
        <v/>
      </c>
      <c r="I3" s="387" t="inlineStr">
        <is>
          <t>Blixt returns summary</t>
        </is>
      </c>
      <c r="J3" s="121" t="n"/>
      <c r="K3" s="1045">
        <f>+K349</f>
        <v/>
      </c>
      <c r="L3" s="1045">
        <f>+L349</f>
        <v/>
      </c>
      <c r="M3" s="1045">
        <f>+M349</f>
        <v/>
      </c>
      <c r="N3" s="1046">
        <f>+N349</f>
        <v/>
      </c>
      <c r="P3" s="1047" t="n"/>
      <c r="Q3" s="311" t="inlineStr">
        <is>
          <t>To discuss with Peter:</t>
        </is>
      </c>
      <c r="U3" s="310" t="n"/>
    </row>
    <row r="4" ht="15" customHeight="1">
      <c r="B4" s="559" t="inlineStr">
        <is>
          <t>VALUATION</t>
        </is>
      </c>
      <c r="C4" s="313">
        <f>"EV "&amp;ROUND(K42,1)&amp;" "&amp;L14&amp;" ("&amp;TEXT(F42,"#0.0x")&amp;")"</f>
        <v/>
      </c>
      <c r="I4" s="661" t="inlineStr">
        <is>
          <t>Capital invested (GBPm)</t>
        </is>
      </c>
      <c r="J4" s="662" t="n"/>
      <c r="K4" s="1048">
        <f>+K382</f>
        <v/>
      </c>
      <c r="L4" s="1048">
        <f>+L382</f>
        <v/>
      </c>
      <c r="M4" s="1048">
        <f>+M382</f>
        <v/>
      </c>
      <c r="N4" s="1049">
        <f>+N382</f>
        <v/>
      </c>
      <c r="P4" s="1047" t="n"/>
      <c r="Q4" s="310" t="n"/>
      <c r="U4" s="310" t="n"/>
    </row>
    <row r="5" ht="15" customHeight="1">
      <c r="B5" s="559" t="inlineStr">
        <is>
          <t>RETURNS:</t>
        </is>
      </c>
      <c r="C5" s="596">
        <f>ROUND(N5,1)&amp;"x CoC / "&amp;ROUND(N6,0)&amp;" "&amp;L14&amp;" Capital Gain"</f>
        <v/>
      </c>
      <c r="D5" s="315" t="n"/>
      <c r="I5" s="145">
        <f>+B386</f>
        <v/>
      </c>
      <c r="J5" s="146" t="n"/>
      <c r="K5" s="1050">
        <f>+K386</f>
        <v/>
      </c>
      <c r="L5" s="1050">
        <f>+L386</f>
        <v/>
      </c>
      <c r="M5" s="1050">
        <f>+M386</f>
        <v/>
      </c>
      <c r="N5" s="1051">
        <f>+N386</f>
        <v/>
      </c>
      <c r="P5" s="1052" t="n"/>
      <c r="Q5" s="310" t="n"/>
      <c r="U5" s="310" t="n"/>
      <c r="V5" s="310" t="n"/>
      <c r="X5" s="310" t="n"/>
      <c r="AA5" s="310" t="n"/>
    </row>
    <row r="6" ht="15" customHeight="1">
      <c r="B6" s="313" t="inlineStr">
        <is>
          <t>MODEL:</t>
        </is>
      </c>
      <c r="C6" s="1053">
        <f>R18</f>
        <v/>
      </c>
      <c r="E6" s="1054" t="n"/>
      <c r="F6" s="1055" t="inlineStr">
        <is>
          <t>Case:</t>
        </is>
      </c>
      <c r="G6" s="797" t="n"/>
      <c r="H6" s="1">
        <f>IF(G6="Base",2,IF(G6="Low",1,3))</f>
        <v/>
      </c>
      <c r="I6" s="145">
        <f>+B387</f>
        <v/>
      </c>
      <c r="J6" s="146" t="n"/>
      <c r="K6" s="1056">
        <f>+K387</f>
        <v/>
      </c>
      <c r="L6" s="1056">
        <f>+L387</f>
        <v/>
      </c>
      <c r="M6" s="1056">
        <f>+M387</f>
        <v/>
      </c>
      <c r="N6" s="1057">
        <f>+N387</f>
        <v/>
      </c>
      <c r="P6" s="545" t="n"/>
      <c r="X6" s="310" t="n"/>
    </row>
    <row r="7" ht="15" customHeight="1">
      <c r="E7" s="1058" t="n"/>
      <c r="F7" s="1055" t="inlineStr">
        <is>
          <t>Central costs</t>
        </is>
      </c>
      <c r="G7" s="797" t="inlineStr">
        <is>
          <t>Yes</t>
        </is>
      </c>
      <c r="H7" s="1">
        <f>IF(G7="Yes",1,0)</f>
        <v/>
      </c>
      <c r="I7" s="147">
        <f>+B388</f>
        <v/>
      </c>
      <c r="J7" s="148" t="n"/>
      <c r="K7" s="1059">
        <f>+K388</f>
        <v/>
      </c>
      <c r="L7" s="1059">
        <f>+L388</f>
        <v/>
      </c>
      <c r="M7" s="1059">
        <f>+M388</f>
        <v/>
      </c>
      <c r="N7" s="1060">
        <f>+N388</f>
        <v/>
      </c>
      <c r="P7" s="545" t="n"/>
      <c r="X7" s="310" t="n"/>
    </row>
    <row r="8" ht="15" customHeight="1">
      <c r="P8" s="1061" t="n"/>
      <c r="Q8" s="310" t="n"/>
    </row>
    <row r="9" ht="15" customHeight="1">
      <c r="J9" s="1062" t="n"/>
      <c r="Q9" s="310" t="n"/>
    </row>
    <row r="10" ht="15" customHeight="1">
      <c r="A10" s="307" t="inlineStr">
        <is>
          <t>x</t>
        </is>
      </c>
      <c r="B10" s="106" t="inlineStr">
        <is>
          <t>Transaction Inputs</t>
        </is>
      </c>
      <c r="C10" s="106" t="n"/>
      <c r="D10" s="106" t="n"/>
      <c r="E10" s="107" t="n"/>
      <c r="F10" s="107" t="n"/>
      <c r="G10" s="107" t="n"/>
      <c r="H10" s="107" t="n"/>
      <c r="I10" s="107" t="n"/>
      <c r="J10" s="107" t="n"/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289" t="n"/>
      <c r="U10" s="616" t="inlineStr">
        <is>
          <t>Lists</t>
        </is>
      </c>
    </row>
    <row r="11" ht="15" customHeight="1">
      <c r="A11" s="307" t="n"/>
      <c r="J11" s="1062" t="n"/>
      <c r="K11" s="1062" t="n"/>
      <c r="L11" s="1062" t="n"/>
      <c r="M11" s="1062" t="n"/>
      <c r="N11" s="1062" t="n"/>
      <c r="U11" s="307" t="n"/>
    </row>
    <row r="12" ht="15" customHeight="1">
      <c r="A12" s="307" t="n"/>
      <c r="B12" s="3" t="inlineStr">
        <is>
          <t>Interest Rates</t>
        </is>
      </c>
      <c r="C12" s="3" t="n"/>
      <c r="D12" s="3" t="inlineStr">
        <is>
          <t>Multiple</t>
        </is>
      </c>
      <c r="E12" s="19" t="inlineStr">
        <is>
          <t>Quantum</t>
        </is>
      </c>
      <c r="F12" s="19" t="inlineStr">
        <is>
          <t>Margin</t>
        </is>
      </c>
      <c r="G12" s="19" t="inlineStr">
        <is>
          <t>Cost</t>
        </is>
      </c>
      <c r="I12" s="3" t="inlineStr">
        <is>
          <t>Other Inputs</t>
        </is>
      </c>
      <c r="J12" s="5" t="n"/>
      <c r="K12" s="5" t="n"/>
      <c r="L12" s="5" t="n"/>
      <c r="O12" s="282" t="inlineStr">
        <is>
          <t>Model Checks</t>
        </is>
      </c>
      <c r="P12" s="283" t="n"/>
      <c r="R12" s="284" t="n"/>
      <c r="U12" s="617" t="inlineStr">
        <is>
          <t>Prior ranking</t>
        </is>
      </c>
    </row>
    <row r="13" ht="15" customHeight="1">
      <c r="A13" s="307" t="n"/>
      <c r="B13" s="1" t="inlineStr">
        <is>
          <t>Base rate</t>
        </is>
      </c>
      <c r="F13" s="319" t="n"/>
      <c r="I13" s="1" t="inlineStr">
        <is>
          <t>Project name</t>
        </is>
      </c>
      <c r="L13" s="1063" t="n"/>
      <c r="O13" s="285" t="inlineStr">
        <is>
          <t>Sources &amp; Uses</t>
        </is>
      </c>
      <c r="Q13" s="308" t="n"/>
      <c r="R13" s="1064">
        <f>(1-((E81+E98+E82+E96+E83)=L105))+C106+O42+C107</f>
        <v/>
      </c>
      <c r="U13" s="617" t="inlineStr">
        <is>
          <t>Pari passu</t>
        </is>
      </c>
    </row>
    <row r="14" ht="15" customHeight="1">
      <c r="A14" s="307" t="n"/>
      <c r="B14" s="1" t="inlineStr">
        <is>
          <t>RCF</t>
        </is>
      </c>
      <c r="D14" s="1065" t="n"/>
      <c r="E14" s="1066">
        <f>+D14*$K$40</f>
        <v/>
      </c>
      <c r="F14" s="1067">
        <f>10%-$F$13</f>
        <v/>
      </c>
      <c r="G14" s="1068">
        <f>+$F$13+F14</f>
        <v/>
      </c>
      <c r="I14" s="1" t="inlineStr">
        <is>
          <t>Currency &amp; unit</t>
        </is>
      </c>
      <c r="L14" s="1063" t="n"/>
      <c r="O14" s="1" t="inlineStr">
        <is>
          <t>NewCo funding</t>
        </is>
      </c>
      <c r="R14" s="1064">
        <f>+C61+C71</f>
        <v/>
      </c>
      <c r="U14" s="617" t="n"/>
    </row>
    <row r="15" ht="15" customHeight="1">
      <c r="A15" s="307" t="n"/>
      <c r="B15" s="1" t="inlineStr">
        <is>
          <t>TLA</t>
        </is>
      </c>
      <c r="D15" s="1065" t="n"/>
      <c r="E15" s="1066">
        <f>+D15*$K$40</f>
        <v/>
      </c>
      <c r="F15" s="1067">
        <f>10%-$F$13</f>
        <v/>
      </c>
      <c r="G15" s="1068">
        <f>+$F$13+F15</f>
        <v/>
      </c>
      <c r="I15" s="1" t="inlineStr">
        <is>
          <t>Tax rate</t>
        </is>
      </c>
      <c r="L15" s="1067" t="n"/>
      <c r="O15" s="285" t="inlineStr">
        <is>
          <t>Negative cash balance</t>
        </is>
      </c>
      <c r="R15" s="1064">
        <f>+C237</f>
        <v/>
      </c>
      <c r="U15" s="617" t="n">
        <v>1</v>
      </c>
    </row>
    <row r="16" ht="15" customHeight="1">
      <c r="A16" s="307" t="n"/>
      <c r="B16" s="1" t="inlineStr">
        <is>
          <t>TLB</t>
        </is>
      </c>
      <c r="D16" s="1065" t="n"/>
      <c r="E16" s="1066">
        <f>+D16*$K$40</f>
        <v/>
      </c>
      <c r="F16" s="1067">
        <f>10%-$F$13</f>
        <v/>
      </c>
      <c r="G16" s="1068">
        <f>+$F$13+F16</f>
        <v/>
      </c>
      <c r="I16" s="7" t="inlineStr">
        <is>
          <t>Tax relief - fixed ratio</t>
        </is>
      </c>
      <c r="L16" s="1067" t="n"/>
      <c r="O16" s="285" t="inlineStr">
        <is>
          <t>Returns</t>
        </is>
      </c>
      <c r="R16" s="1064">
        <f>+C421+C422</f>
        <v/>
      </c>
      <c r="U16" s="617" t="n">
        <v>2</v>
      </c>
    </row>
    <row r="17" ht="15" customHeight="1">
      <c r="A17" s="307" t="n"/>
      <c r="B17" s="7" t="inlineStr">
        <is>
          <t>Acquisition facility</t>
        </is>
      </c>
      <c r="D17" s="1065" t="n"/>
      <c r="E17" s="1069">
        <f>+D17*$K$40</f>
        <v/>
      </c>
      <c r="F17" s="1067">
        <f>10%-$F$13</f>
        <v/>
      </c>
      <c r="G17" s="1068">
        <f>+$F$13+F17</f>
        <v/>
      </c>
      <c r="I17" s="7" t="inlineStr">
        <is>
          <t>Tax relief - de minimis</t>
        </is>
      </c>
      <c r="L17" s="1070" t="n"/>
      <c r="O17" s="1" t="inlineStr">
        <is>
          <t>Returns bridge</t>
        </is>
      </c>
      <c r="R17" s="1064">
        <f>+C450+C462</f>
        <v/>
      </c>
      <c r="U17" s="617" t="n">
        <v>3</v>
      </c>
    </row>
    <row r="18" ht="15" customHeight="1">
      <c r="A18" s="307" t="n"/>
      <c r="O18" s="552" t="inlineStr">
        <is>
          <t>Master Check</t>
        </is>
      </c>
      <c r="P18" s="553" t="n"/>
      <c r="Q18" s="553" t="n"/>
      <c r="R18" s="1071">
        <f>COUNTIF(R13:R17,"&lt;&gt;0")</f>
        <v/>
      </c>
      <c r="U18" s="617" t="n"/>
      <c r="AA18" s="22" t="n"/>
    </row>
    <row r="19" ht="15" customHeight="1">
      <c r="A19" s="307" t="n"/>
      <c r="B19" s="1" t="inlineStr">
        <is>
          <t>RCF undrawn commitment fee</t>
        </is>
      </c>
      <c r="E19" s="1068" t="n"/>
      <c r="F19" s="1067" t="n"/>
      <c r="G19" s="1068">
        <f>+G14*F19</f>
        <v/>
      </c>
      <c r="I19" s="1">
        <f>"Blixt mgmt. fee (% EBITDA; "&amp;L14&amp;" floor)"</f>
        <v/>
      </c>
      <c r="L19" s="1067" t="n"/>
      <c r="M19" s="1070" t="n"/>
      <c r="U19" s="617" t="inlineStr">
        <is>
          <t>Equity</t>
        </is>
      </c>
      <c r="AA19" s="22" t="n"/>
    </row>
    <row r="20" ht="15" customHeight="1">
      <c r="A20" s="307" t="n"/>
      <c r="B20" s="1" t="inlineStr">
        <is>
          <t>ACF undrawn commitment fee</t>
        </is>
      </c>
      <c r="E20" s="1068" t="n"/>
      <c r="F20" s="1067" t="n"/>
      <c r="G20" s="1068">
        <f>+G17*F20</f>
        <v/>
      </c>
      <c r="I20" s="1" t="inlineStr">
        <is>
          <t>Blixt exit fee (% EV)</t>
        </is>
      </c>
      <c r="L20" s="1067" t="n"/>
      <c r="U20" s="617" t="inlineStr">
        <is>
          <t>No equity</t>
        </is>
      </c>
    </row>
    <row r="21" ht="15.4" customHeight="1">
      <c r="A21" s="307" t="n"/>
      <c r="B21" s="1" t="inlineStr">
        <is>
          <t>ACF gross leverage cap</t>
        </is>
      </c>
      <c r="D21" s="1065" t="n"/>
      <c r="I21" s="1" t="inlineStr">
        <is>
          <t>Sweet equity</t>
        </is>
      </c>
      <c r="L21" s="1067" t="n"/>
      <c r="U21" s="307" t="n"/>
    </row>
    <row r="22" ht="15.4" customHeight="1">
      <c r="A22" s="307" t="n"/>
      <c r="B22" s="1" t="inlineStr">
        <is>
          <t>Debt / Equity</t>
        </is>
      </c>
      <c r="D22" s="1065" t="n"/>
      <c r="E22" s="1065" t="n"/>
      <c r="F22" s="1072" t="n"/>
      <c r="L22" s="1073" t="n"/>
      <c r="U22" s="617" t="b">
        <v>1</v>
      </c>
    </row>
    <row r="23" ht="15" customHeight="1">
      <c r="A23" s="307" t="n"/>
      <c r="B23" s="1" t="inlineStr">
        <is>
          <t>Vendor loan</t>
        </is>
      </c>
      <c r="G23" s="1067" t="n"/>
      <c r="I23" s="1" t="inlineStr">
        <is>
          <t>Ords for EOs on day 1</t>
        </is>
      </c>
      <c r="L23" s="1063" t="n"/>
      <c r="U23" s="617" t="b">
        <v>0</v>
      </c>
    </row>
    <row r="24" ht="15" customHeight="1">
      <c r="A24" s="307" t="n"/>
      <c r="B24" s="1" t="inlineStr">
        <is>
          <t>Blixt preferred equity</t>
        </is>
      </c>
      <c r="G24" s="1067" t="n"/>
      <c r="I24" s="1" t="inlineStr">
        <is>
          <t>Ords (million shares)</t>
        </is>
      </c>
      <c r="L24" s="1070" t="n"/>
      <c r="M24" s="1074" t="n"/>
    </row>
    <row r="25" ht="15" customHeight="1">
      <c r="A25" s="307" t="n"/>
      <c r="B25" s="1" t="inlineStr">
        <is>
          <t>Management &amp; vendor preference share</t>
        </is>
      </c>
      <c r="G25" s="1067" t="n"/>
      <c r="H25" s="307" t="n"/>
      <c r="I25" s="1" t="inlineStr">
        <is>
          <t>Pref:ords (equity injections)</t>
        </is>
      </c>
      <c r="J25" s="1075" t="n"/>
      <c r="L25" s="1068">
        <f>IF(L23,1-L24*(1-L21)/(L69-M69-L67+L82),1-L24*(1-L21)/(L69-M69-L67))</f>
        <v/>
      </c>
      <c r="M25" s="1068">
        <f>1-L25</f>
        <v/>
      </c>
      <c r="N25" s="30" t="n"/>
      <c r="O25" s="30" t="n"/>
    </row>
    <row r="26" ht="15" customHeight="1">
      <c r="A26" s="307" t="n"/>
      <c r="I26" s="1" t="inlineStr">
        <is>
          <t>Sweet pref:ords</t>
        </is>
      </c>
      <c r="L26" s="648" t="n"/>
      <c r="M26" s="648">
        <f>100%-L26</f>
        <v/>
      </c>
      <c r="N26" s="30" t="n"/>
      <c r="O26" s="660" t="n"/>
    </row>
    <row r="27" ht="15" customHeight="1">
      <c r="A27" s="307" t="n"/>
      <c r="B27" s="1" t="inlineStr">
        <is>
          <t>Minimum cash balance</t>
        </is>
      </c>
      <c r="F27" s="1076" t="n"/>
      <c r="G27" s="1070" t="n"/>
      <c r="L27" s="1077" t="n"/>
    </row>
    <row r="28" ht="15" customHeight="1">
      <c r="A28" s="307" t="n"/>
      <c r="B28" s="1" t="inlineStr">
        <is>
          <t>Opening cash balance in NewCo</t>
        </is>
      </c>
      <c r="G28" s="1070" t="n"/>
    </row>
    <row r="29" ht="15" customHeight="1">
      <c r="A29" s="307" t="n"/>
      <c r="I29" s="3" t="inlineStr">
        <is>
          <t>Valuation basis</t>
        </is>
      </c>
      <c r="J29" s="5" t="n"/>
      <c r="L29" s="6" t="n"/>
    </row>
    <row r="30" ht="15" customHeight="1">
      <c r="A30" s="307" t="n"/>
      <c r="I30" s="1" t="inlineStr">
        <is>
          <t>EBITDA</t>
        </is>
      </c>
      <c r="K30" s="308" t="n"/>
      <c r="L30" s="16" t="n">
        <v>1</v>
      </c>
    </row>
    <row r="31" ht="15" customHeight="1">
      <c r="A31" s="307" t="n"/>
      <c r="I31" s="1" t="inlineStr">
        <is>
          <t>EBITDA-M.Capex</t>
        </is>
      </c>
      <c r="L31" s="16" t="n">
        <v>2</v>
      </c>
      <c r="U31" s="1078" t="n"/>
    </row>
    <row r="32" ht="15" customHeight="1">
      <c r="A32" s="307" t="n"/>
      <c r="I32" s="1" t="inlineStr">
        <is>
          <t>EBIT</t>
        </is>
      </c>
      <c r="L32" s="16" t="n">
        <v>3</v>
      </c>
    </row>
    <row r="33" ht="15" customHeight="1">
      <c r="A33" s="307" t="n"/>
    </row>
    <row r="34" ht="15" customHeight="1">
      <c r="A34" s="307" t="inlineStr">
        <is>
          <t>x</t>
        </is>
      </c>
      <c r="B34" s="106">
        <f>"Entry and Exit Assumptions ("&amp;L14&amp;")"</f>
        <v/>
      </c>
      <c r="C34" s="106" t="n"/>
      <c r="D34" s="106" t="n"/>
      <c r="E34" s="107" t="n"/>
      <c r="F34" s="107" t="n"/>
      <c r="G34" s="107" t="n"/>
      <c r="H34" s="107" t="n"/>
      <c r="I34" s="107" t="n"/>
      <c r="J34" s="107" t="n"/>
      <c r="K34" s="107" t="n"/>
      <c r="L34" s="107" t="n"/>
      <c r="M34" s="107" t="n"/>
      <c r="N34" s="107" t="n"/>
      <c r="O34" s="107" t="n"/>
      <c r="P34" s="107" t="n"/>
      <c r="Q34" s="107" t="n"/>
      <c r="R34" s="107" t="n"/>
      <c r="S34" s="107" t="n"/>
      <c r="T34" s="289" t="n"/>
    </row>
    <row r="35" ht="15" customHeight="1">
      <c r="A35" s="307" t="n"/>
      <c r="B35" s="21" t="n"/>
      <c r="C35" s="21" t="n"/>
      <c r="D35" s="21" t="n"/>
      <c r="E35" s="1079" t="n"/>
      <c r="K35" s="1078" t="n"/>
    </row>
    <row r="36" ht="15" customHeight="1">
      <c r="A36" s="307" t="n"/>
      <c r="B36" s="3" t="inlineStr">
        <is>
          <t>Entry / exit assumptions</t>
        </is>
      </c>
      <c r="C36" s="3" t="n"/>
      <c r="D36" s="3" t="n"/>
      <c r="E36" s="5" t="n"/>
      <c r="F36" s="3" t="n"/>
      <c r="H36" s="3" t="inlineStr">
        <is>
          <t>Valuation</t>
        </is>
      </c>
      <c r="I36" s="3" t="n"/>
      <c r="J36" s="3" t="n"/>
      <c r="K36" s="3" t="n"/>
      <c r="M36" s="21" t="inlineStr">
        <is>
          <t>Deferred cons.</t>
        </is>
      </c>
      <c r="O36" s="1080" t="n"/>
      <c r="Q36" s="3" t="inlineStr">
        <is>
          <t>OldCo equity value (for re-invest)</t>
        </is>
      </c>
      <c r="R36" s="3" t="n"/>
      <c r="S36" s="3" t="n"/>
      <c r="T36" s="2" t="n"/>
      <c r="U36" s="2" t="n"/>
    </row>
    <row r="37" ht="15" customHeight="1">
      <c r="A37" s="307" t="n"/>
      <c r="B37" s="7" t="inlineStr">
        <is>
          <t>Last completed FY</t>
        </is>
      </c>
      <c r="F37" s="1081" t="n"/>
      <c r="H37" s="1">
        <f>YEAR(H157)&amp;" EBITDA"</f>
        <v/>
      </c>
      <c r="K37" s="1082">
        <f>H181</f>
        <v/>
      </c>
      <c r="M37" s="547" t="inlineStr">
        <is>
          <t>Y1</t>
        </is>
      </c>
      <c r="N37" s="308" t="n"/>
      <c r="O37" s="1083" t="n"/>
      <c r="Q37" s="1" t="inlineStr">
        <is>
          <t>Enterprise Value</t>
        </is>
      </c>
      <c r="S37" s="1078">
        <f>+K42</f>
        <v/>
      </c>
      <c r="T37" s="1078" t="n"/>
      <c r="U37" s="1084" t="n"/>
    </row>
    <row r="38" ht="15" customHeight="1">
      <c r="A38" s="307" t="n"/>
      <c r="B38" s="7" t="inlineStr">
        <is>
          <t>Months from close to end of FY</t>
        </is>
      </c>
      <c r="F38" s="1085" t="n"/>
      <c r="H38" s="1" t="inlineStr">
        <is>
          <t>EBITDA-M.Capex</t>
        </is>
      </c>
      <c r="K38" s="1082">
        <f>H192</f>
        <v/>
      </c>
      <c r="M38" s="1" t="inlineStr">
        <is>
          <t>Y2</t>
        </is>
      </c>
      <c r="O38" s="1067">
        <f>2/O36</f>
        <v/>
      </c>
      <c r="Q38" s="1" t="inlineStr">
        <is>
          <t>Existing gross debt</t>
        </is>
      </c>
      <c r="S38" s="1082" t="n"/>
      <c r="T38" s="1086" t="n"/>
      <c r="U38" s="2" t="n"/>
    </row>
    <row r="39" ht="15" customHeight="1">
      <c r="A39" s="307" t="n"/>
      <c r="B39" s="7" t="inlineStr">
        <is>
          <t>Closing</t>
        </is>
      </c>
      <c r="F39" s="1087">
        <f>+EOMONTH(F37,12-F38)</f>
        <v/>
      </c>
      <c r="H39" s="1" t="inlineStr">
        <is>
          <t>EBIT</t>
        </is>
      </c>
      <c r="K39" s="1088">
        <f>+H189</f>
        <v/>
      </c>
      <c r="M39" s="1" t="inlineStr">
        <is>
          <t>Y3</t>
        </is>
      </c>
      <c r="O39" s="1067">
        <f>5/O36</f>
        <v/>
      </c>
      <c r="Q39" s="1" t="inlineStr">
        <is>
          <t>Existing cash</t>
        </is>
      </c>
      <c r="S39" s="1082" t="n"/>
      <c r="T39" s="1086" t="n"/>
      <c r="U39" s="2" t="n"/>
    </row>
    <row r="40" ht="15" customHeight="1">
      <c r="A40" s="307" t="n"/>
      <c r="B40" s="7" t="inlineStr">
        <is>
          <t>Phasing</t>
        </is>
      </c>
      <c r="F40" s="14">
        <f>+F38/12+10^-10</f>
        <v/>
      </c>
      <c r="H40" s="308">
        <f>CHOOSE(L29,I30,I31,I32)</f>
        <v/>
      </c>
      <c r="I40" s="308" t="n"/>
      <c r="J40" s="308" t="n"/>
      <c r="K40" s="1089">
        <f>CHOOSE(L29,K37,K38,K39)</f>
        <v/>
      </c>
      <c r="M40" s="1" t="inlineStr">
        <is>
          <t>Y4</t>
        </is>
      </c>
      <c r="O40" s="1067" t="n"/>
      <c r="Q40" s="1" t="inlineStr">
        <is>
          <t>LN / prefs</t>
        </is>
      </c>
      <c r="S40" s="1082" t="n"/>
      <c r="T40" s="1086" t="n"/>
      <c r="U40" s="2" t="n"/>
    </row>
    <row r="41" ht="15" customHeight="1">
      <c r="A41" s="307" t="n"/>
      <c r="B41" s="7" t="n"/>
      <c r="F41" s="14" t="n"/>
      <c r="H41" s="1" t="inlineStr">
        <is>
          <t>Entry multiple</t>
        </is>
      </c>
      <c r="K41" s="1090">
        <f>F42</f>
        <v/>
      </c>
      <c r="M41" s="1" t="inlineStr">
        <is>
          <t>Y5</t>
        </is>
      </c>
      <c r="O41" s="1067" t="n"/>
      <c r="Q41" s="1" t="inlineStr">
        <is>
          <t>Debt and debt-like</t>
        </is>
      </c>
      <c r="S41" s="1082" t="n"/>
      <c r="T41" s="1086" t="n"/>
      <c r="U41" s="2" t="n"/>
    </row>
    <row r="42" ht="15" customHeight="1">
      <c r="A42" s="307" t="n"/>
      <c r="B42" s="1">
        <f>"Entry multiple ("&amp;CHOOSE(L29,I30,I31,I32)&amp;")"</f>
        <v/>
      </c>
      <c r="F42" s="1091">
        <f>21/K37</f>
        <v/>
      </c>
      <c r="H42" s="109" t="inlineStr">
        <is>
          <t>Enterprise Value</t>
        </is>
      </c>
      <c r="I42" s="109" t="n"/>
      <c r="J42" s="109" t="n"/>
      <c r="K42" s="1092">
        <f>+K40*K41</f>
        <v/>
      </c>
      <c r="O42" s="1093">
        <f>+SUM(O37:O41)-1</f>
        <v/>
      </c>
      <c r="Q42" s="1" t="inlineStr">
        <is>
          <t>NWC adjustment</t>
        </is>
      </c>
      <c r="S42" s="1082" t="n"/>
      <c r="T42" s="1086" t="n"/>
      <c r="U42" s="2" t="n"/>
      <c r="V42" s="2" t="n"/>
    </row>
    <row r="43" ht="15" customHeight="1">
      <c r="A43" s="307" t="n"/>
      <c r="B43" s="7">
        <f>"Exit multiple ("&amp;CHOOSE(L29,I30,I31,I32)&amp;")"</f>
        <v/>
      </c>
      <c r="F43" s="1091">
        <f>CHOOSE($H$6,Cases!$E$5,Cases!$F$5,Cases!$G$5)</f>
        <v/>
      </c>
      <c r="H43" s="1" t="inlineStr">
        <is>
          <t>Earn-out</t>
        </is>
      </c>
      <c r="K43" s="1092">
        <f>+O36</f>
        <v/>
      </c>
      <c r="Q43" s="109" t="inlineStr">
        <is>
          <t>Equity Value</t>
        </is>
      </c>
      <c r="R43" s="109" t="n"/>
      <c r="S43" s="1092">
        <f>+SUM(S37:S42)</f>
        <v/>
      </c>
      <c r="T43" s="1094" t="n"/>
      <c r="U43" s="2" t="n"/>
      <c r="V43" s="2" t="n"/>
    </row>
    <row r="44" ht="15" customHeight="1">
      <c r="A44" s="307" t="n"/>
      <c r="H44" s="109" t="inlineStr">
        <is>
          <t>Enterprise Value pre earn-out</t>
        </is>
      </c>
      <c r="I44" s="109" t="n"/>
      <c r="J44" s="109" t="n"/>
      <c r="K44" s="1092">
        <f>+K42-K43</f>
        <v/>
      </c>
      <c r="Q44" s="109" t="inlineStr">
        <is>
          <t>Equity Value pre earn-out</t>
        </is>
      </c>
      <c r="R44" s="109" t="n"/>
      <c r="S44" s="1092">
        <f>+S43-K43</f>
        <v/>
      </c>
      <c r="T44" s="1094" t="n"/>
      <c r="U44" s="2" t="n"/>
      <c r="V44" s="2" t="n"/>
    </row>
    <row r="45" ht="15" customHeight="1">
      <c r="A45" s="307" t="n"/>
      <c r="F45" s="1068" t="n"/>
      <c r="Q45" s="1" t="inlineStr">
        <is>
          <t>Fees</t>
        </is>
      </c>
      <c r="S45" s="1095" t="n"/>
      <c r="T45" s="1078" t="n"/>
    </row>
    <row r="46" ht="15" customHeight="1">
      <c r="A46" s="307" t="n"/>
      <c r="F46" s="1068" t="n"/>
      <c r="Q46" s="1" t="inlineStr">
        <is>
          <t>Liability repayment</t>
        </is>
      </c>
      <c r="S46" s="1078">
        <f>-SUM(S38,S40:S42)</f>
        <v/>
      </c>
      <c r="T46" s="1078" t="n"/>
    </row>
    <row r="47" ht="15" customHeight="1">
      <c r="A47" s="307" t="n"/>
      <c r="F47" s="1068" t="n"/>
      <c r="Q47" s="308" t="inlineStr">
        <is>
          <t>Day 1 funding required</t>
        </is>
      </c>
      <c r="R47" s="308" t="n"/>
      <c r="S47" s="1089">
        <f>S44+S45+S46</f>
        <v/>
      </c>
      <c r="T47" s="1078" t="n"/>
    </row>
    <row r="48" ht="15" customHeight="1">
      <c r="A48" s="307" t="n"/>
      <c r="Q48" s="1" t="inlineStr">
        <is>
          <t>Total funding required</t>
        </is>
      </c>
      <c r="S48" s="1078">
        <f>+S47+K43</f>
        <v/>
      </c>
      <c r="T48" s="1078" t="n"/>
    </row>
    <row r="49" ht="15" customHeight="1">
      <c r="A49" s="307" t="n"/>
    </row>
    <row r="50" ht="15" customHeight="1">
      <c r="A50" s="307" t="inlineStr">
        <is>
          <t>x</t>
        </is>
      </c>
      <c r="B50" s="106">
        <f>"Management Rollover &amp; Ownership Structure ("&amp;L14&amp;")"</f>
        <v/>
      </c>
      <c r="C50" s="106" t="n"/>
      <c r="D50" s="106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289" t="n"/>
      <c r="U50" s="106" t="inlineStr">
        <is>
          <t>NewCo capital structure and dilution schedule</t>
        </is>
      </c>
      <c r="V50" s="107" t="n"/>
      <c r="W50" s="107" t="n"/>
      <c r="X50" s="107" t="n"/>
      <c r="Y50" s="107" t="n"/>
      <c r="Z50" s="107" t="n"/>
      <c r="AA50" s="107" t="n"/>
      <c r="AB50" s="107" t="n"/>
      <c r="AC50" s="107" t="n"/>
      <c r="AD50" s="107" t="n"/>
      <c r="AE50" s="107" t="n"/>
      <c r="AF50" s="107" t="n"/>
      <c r="AG50" s="107" t="n"/>
      <c r="AH50" s="107" t="n"/>
      <c r="AI50" s="107" t="n"/>
      <c r="AJ50" s="107" t="n"/>
    </row>
    <row r="51" ht="15" customHeight="1">
      <c r="A51" s="307" t="n"/>
    </row>
    <row r="52" ht="15" customHeight="1">
      <c r="A52" s="307" t="n"/>
      <c r="D52" s="321" t="inlineStr">
        <is>
          <t>OldCo</t>
        </is>
      </c>
      <c r="E52" s="329" t="n"/>
      <c r="F52" s="329" t="n"/>
      <c r="G52" s="329" t="n"/>
      <c r="H52" s="329" t="n"/>
      <c r="I52" s="329" t="n"/>
      <c r="J52" s="321" t="n"/>
      <c r="K52" s="329" t="n"/>
      <c r="L52" s="321" t="inlineStr">
        <is>
          <t>NewCo</t>
        </is>
      </c>
      <c r="M52" s="329" t="n"/>
      <c r="N52" s="329" t="n"/>
      <c r="O52" s="329" t="n"/>
      <c r="P52" s="329" t="n"/>
      <c r="Q52" s="329" t="n"/>
      <c r="R52" s="329" t="n"/>
      <c r="U52" s="329" t="n"/>
      <c r="V52" s="321" t="inlineStr">
        <is>
          <t>Post-completion (ord dilution)</t>
        </is>
      </c>
      <c r="W52" s="329" t="n"/>
      <c r="X52" s="329" t="n"/>
      <c r="Y52" s="329" t="n"/>
      <c r="Z52" s="329" t="n"/>
      <c r="AA52" s="329" t="n"/>
      <c r="AB52" s="329" t="n"/>
      <c r="AC52" s="329" t="n"/>
      <c r="AD52" s="329" t="n"/>
      <c r="AE52" s="329" t="n"/>
      <c r="AF52" s="329" t="n"/>
      <c r="AG52" s="329" t="n"/>
      <c r="AH52" s="329" t="n"/>
      <c r="AI52" s="329" t="n"/>
      <c r="AJ52" s="329" t="n"/>
    </row>
    <row r="53" ht="25.5" customFormat="1" customHeight="1" s="330">
      <c r="A53" s="458" t="n"/>
      <c r="B53" s="328" t="n"/>
      <c r="C53" s="328" t="n"/>
      <c r="D53" s="331" t="inlineStr">
        <is>
          <t>% shares</t>
        </is>
      </c>
      <c r="E53" s="331" t="inlineStr">
        <is>
          <t>£ shares (pre EO)</t>
        </is>
      </c>
      <c r="F53" s="332" t="inlineStr">
        <is>
          <t>LN / prefs</t>
        </is>
      </c>
      <c r="G53" s="331" t="inlineStr">
        <is>
          <t>Gross proceeds</t>
        </is>
      </c>
      <c r="H53" s="333" t="inlineStr">
        <is>
          <t>Re-invest (%)</t>
        </is>
      </c>
      <c r="I53" s="334" t="inlineStr">
        <is>
          <t>Re-invest</t>
        </is>
      </c>
      <c r="J53" s="331" t="inlineStr">
        <is>
          <t>Cash out</t>
        </is>
      </c>
      <c r="L53" s="331" t="inlineStr">
        <is>
          <t>Investment</t>
        </is>
      </c>
      <c r="M53" s="331" t="inlineStr">
        <is>
          <t>VLN</t>
        </is>
      </c>
      <c r="N53" s="331" t="inlineStr">
        <is>
          <t>Loan note</t>
        </is>
      </c>
      <c r="O53" s="331" t="inlineStr">
        <is>
          <t>Equity</t>
        </is>
      </c>
      <c r="P53" s="331" t="inlineStr">
        <is>
          <t>Strip - prefs</t>
        </is>
      </c>
      <c r="Q53" s="331" t="inlineStr">
        <is>
          <t>Strip - ords</t>
        </is>
      </c>
      <c r="R53" s="333" t="inlineStr">
        <is>
          <t>Total</t>
        </is>
      </c>
      <c r="U53" s="393" t="n"/>
      <c r="V53" s="332" t="inlineStr">
        <is>
          <t>Prefs - opening</t>
        </is>
      </c>
      <c r="W53" s="332" t="inlineStr">
        <is>
          <t>Ords - opening</t>
        </is>
      </c>
      <c r="X53" s="332" t="inlineStr">
        <is>
          <t>Ords % - opening</t>
        </is>
      </c>
      <c r="Y53" s="1096">
        <f>+TEXT(I205,"dd-mmm-yy")&amp;" - Prefs"</f>
        <v/>
      </c>
      <c r="Z53" s="1096">
        <f>+TEXT(I205,"dd-mmm-yy")&amp;" - Ords"</f>
        <v/>
      </c>
      <c r="AA53" s="1097">
        <f>+TEXT(J205,"dd-mmm-yy")&amp;" - Prefs"</f>
        <v/>
      </c>
      <c r="AB53" s="1096">
        <f>+TEXT(J205,"dd-mmm-yy")&amp;" - Ords"</f>
        <v/>
      </c>
      <c r="AC53" s="1097">
        <f>+TEXT(K205,"dd-mmm-yy")&amp;" - Prefs"</f>
        <v/>
      </c>
      <c r="AD53" s="1096">
        <f>+TEXT(K205,"dd-mmm-yy")&amp;" - Ords"</f>
        <v/>
      </c>
      <c r="AE53" s="1097">
        <f>+TEXT(L205,"dd-mmm-yy")&amp;" - Prefs"</f>
        <v/>
      </c>
      <c r="AF53" s="1096">
        <f>+TEXT(L205,"dd-mmm-yy")&amp;" - Ords"</f>
        <v/>
      </c>
      <c r="AG53" s="1097">
        <f>+TEXT(M205,"dd-mmm-yy")&amp;" - Prefs"</f>
        <v/>
      </c>
      <c r="AH53" s="1096">
        <f>+TEXT(M205,"dd-mmm-yy")&amp;" - Ords"</f>
        <v/>
      </c>
      <c r="AI53" s="1097">
        <f>+TEXT(N205,"dd-mmm-yy")&amp;" - Prefs"</f>
        <v/>
      </c>
      <c r="AJ53" s="1096">
        <f>+TEXT(N205,"dd-mmm-yy")&amp;" - Ords"</f>
        <v/>
      </c>
    </row>
    <row r="54" ht="15" customHeight="1">
      <c r="A54" s="307" t="n"/>
      <c r="B54" s="1098" t="inlineStr">
        <is>
          <t>[Vendor 1]</t>
        </is>
      </c>
      <c r="D54" s="1099" t="n"/>
      <c r="E54" s="1100">
        <f>+D54*$S$44</f>
        <v/>
      </c>
      <c r="F54" s="1101" t="n"/>
      <c r="G54" s="1100">
        <f>+E54+F54</f>
        <v/>
      </c>
      <c r="H54" s="1102" t="n"/>
      <c r="I54" s="1103">
        <f>+G54*H54</f>
        <v/>
      </c>
      <c r="J54" s="1104">
        <f>+G54-I54</f>
        <v/>
      </c>
      <c r="L54" s="1104">
        <f>+I54</f>
        <v/>
      </c>
      <c r="M54" s="1101" t="n"/>
      <c r="N54" s="353" t="n"/>
      <c r="O54" s="1105">
        <f>Q54/($Q$60+$Q$68)</f>
        <v/>
      </c>
      <c r="P54" s="1104">
        <f>L54-M54-Q54</f>
        <v/>
      </c>
      <c r="Q54" s="1104">
        <f>(L54-M54)*(1-$L$25)</f>
        <v/>
      </c>
      <c r="R54" s="1106">
        <f>M54+P54+Q54</f>
        <v/>
      </c>
      <c r="U54" s="1107">
        <f>+B54</f>
        <v/>
      </c>
      <c r="V54" s="1100">
        <f>+P54</f>
        <v/>
      </c>
      <c r="W54" s="1100">
        <f>+Q54</f>
        <v/>
      </c>
      <c r="X54" s="1108">
        <f>+O54</f>
        <v/>
      </c>
      <c r="Y54" s="1109">
        <f>+$V54</f>
        <v/>
      </c>
      <c r="Z54" s="1110">
        <f>+$W54</f>
        <v/>
      </c>
      <c r="AA54" s="1111">
        <f>+$V54</f>
        <v/>
      </c>
      <c r="AB54" s="1110">
        <f>+$W54</f>
        <v/>
      </c>
      <c r="AC54" s="1111">
        <f>+$V54</f>
        <v/>
      </c>
      <c r="AD54" s="1110">
        <f>+$W54</f>
        <v/>
      </c>
      <c r="AE54" s="1111">
        <f>+$V54</f>
        <v/>
      </c>
      <c r="AF54" s="1110">
        <f>+$W54</f>
        <v/>
      </c>
      <c r="AG54" s="1111">
        <f>+$V54</f>
        <v/>
      </c>
      <c r="AH54" s="1110">
        <f>+$W54</f>
        <v/>
      </c>
      <c r="AI54" s="1111">
        <f>+$V54</f>
        <v/>
      </c>
      <c r="AJ54" s="1110">
        <f>+$W54</f>
        <v/>
      </c>
    </row>
    <row r="55" ht="15" customHeight="1">
      <c r="A55" s="307" t="n"/>
      <c r="B55" s="1098" t="n"/>
      <c r="D55" s="1099" t="n"/>
      <c r="E55" s="1104">
        <f>+D55*$S$44</f>
        <v/>
      </c>
      <c r="F55" s="1112" t="n"/>
      <c r="G55" s="1104">
        <f>+E55+F55</f>
        <v/>
      </c>
      <c r="H55" s="1113" t="n"/>
      <c r="I55" s="1114">
        <f>+G55*H55</f>
        <v/>
      </c>
      <c r="J55" s="1104">
        <f>+G55-I55</f>
        <v/>
      </c>
      <c r="L55" s="1104">
        <f>+I55</f>
        <v/>
      </c>
      <c r="M55" s="1112" t="n"/>
      <c r="N55" s="353" t="n"/>
      <c r="O55" s="1105">
        <f>Q55/($Q$60+$Q$68)</f>
        <v/>
      </c>
      <c r="P55" s="1104">
        <f>L55-M55-Q55</f>
        <v/>
      </c>
      <c r="Q55" s="1104">
        <f>(L55-M55)*(1-$L$25)</f>
        <v/>
      </c>
      <c r="R55" s="1115">
        <f>M55+P55+Q55</f>
        <v/>
      </c>
      <c r="S55" s="1116" t="n"/>
      <c r="U55" s="1117">
        <f>+B55</f>
        <v/>
      </c>
      <c r="V55" s="1104">
        <f>+P55</f>
        <v/>
      </c>
      <c r="W55" s="1104">
        <f>+Q55</f>
        <v/>
      </c>
      <c r="X55" s="1118">
        <f>+O55</f>
        <v/>
      </c>
      <c r="Y55" s="1119">
        <f>+$V55</f>
        <v/>
      </c>
      <c r="Z55" s="1119">
        <f>+$W55</f>
        <v/>
      </c>
      <c r="AA55" s="1120">
        <f>+$V55</f>
        <v/>
      </c>
      <c r="AB55" s="1119">
        <f>+$W55</f>
        <v/>
      </c>
      <c r="AC55" s="1120">
        <f>+$V55</f>
        <v/>
      </c>
      <c r="AD55" s="1119">
        <f>+$W55</f>
        <v/>
      </c>
      <c r="AE55" s="1120">
        <f>+$V55</f>
        <v/>
      </c>
      <c r="AF55" s="1119">
        <f>+$W55</f>
        <v/>
      </c>
      <c r="AG55" s="1120">
        <f>+$V55</f>
        <v/>
      </c>
      <c r="AH55" s="1119">
        <f>+$W55</f>
        <v/>
      </c>
      <c r="AI55" s="1120">
        <f>+$V55</f>
        <v/>
      </c>
      <c r="AJ55" s="1119">
        <f>+$W55</f>
        <v/>
      </c>
    </row>
    <row r="56" ht="15" customHeight="1">
      <c r="A56" s="307" t="n"/>
      <c r="B56" s="1098" t="n"/>
      <c r="D56" s="1099" t="n"/>
      <c r="E56" s="1104">
        <f>+D56*$S$44</f>
        <v/>
      </c>
      <c r="F56" s="1112" t="n"/>
      <c r="G56" s="1104">
        <f>+E56+F56</f>
        <v/>
      </c>
      <c r="H56" s="1113" t="n"/>
      <c r="I56" s="1114">
        <f>+G56*H56</f>
        <v/>
      </c>
      <c r="J56" s="1104">
        <f>+G56-I56</f>
        <v/>
      </c>
      <c r="L56" s="1104">
        <f>+I56</f>
        <v/>
      </c>
      <c r="M56" s="1112" t="n"/>
      <c r="N56" s="353" t="n"/>
      <c r="O56" s="1105">
        <f>Q56/($Q$60+$Q$68)</f>
        <v/>
      </c>
      <c r="P56" s="1104">
        <f>L56-M56-Q56</f>
        <v/>
      </c>
      <c r="Q56" s="1104">
        <f>(L56-M56)*(1-$L$25)</f>
        <v/>
      </c>
      <c r="R56" s="1115">
        <f>M56+P56+Q56</f>
        <v/>
      </c>
      <c r="S56" s="1116" t="n"/>
      <c r="U56" s="1117">
        <f>+B56</f>
        <v/>
      </c>
      <c r="V56" s="1104">
        <f>+P56</f>
        <v/>
      </c>
      <c r="W56" s="1104">
        <f>+Q56</f>
        <v/>
      </c>
      <c r="X56" s="1118">
        <f>+O56</f>
        <v/>
      </c>
      <c r="Y56" s="1119">
        <f>+$V56</f>
        <v/>
      </c>
      <c r="Z56" s="1119">
        <f>+$W56</f>
        <v/>
      </c>
      <c r="AA56" s="1120">
        <f>+$V56</f>
        <v/>
      </c>
      <c r="AB56" s="1119">
        <f>+$W56</f>
        <v/>
      </c>
      <c r="AC56" s="1120">
        <f>+$V56</f>
        <v/>
      </c>
      <c r="AD56" s="1119">
        <f>+$W56</f>
        <v/>
      </c>
      <c r="AE56" s="1120">
        <f>+$V56</f>
        <v/>
      </c>
      <c r="AF56" s="1119">
        <f>+$W56</f>
        <v/>
      </c>
      <c r="AG56" s="1120">
        <f>+$V56</f>
        <v/>
      </c>
      <c r="AH56" s="1119">
        <f>+$W56</f>
        <v/>
      </c>
      <c r="AI56" s="1120">
        <f>+$V56</f>
        <v/>
      </c>
      <c r="AJ56" s="1119">
        <f>+$W56</f>
        <v/>
      </c>
    </row>
    <row r="57" outlineLevel="1" ht="15" customHeight="1">
      <c r="A57" s="307" t="n"/>
      <c r="B57" s="1098" t="n"/>
      <c r="D57" s="1099" t="n"/>
      <c r="E57" s="1104">
        <f>+D57*$S$44</f>
        <v/>
      </c>
      <c r="F57" s="1112" t="n"/>
      <c r="G57" s="1104">
        <f>+E57+F57</f>
        <v/>
      </c>
      <c r="H57" s="1113" t="n"/>
      <c r="I57" s="1114">
        <f>+G57*H57</f>
        <v/>
      </c>
      <c r="J57" s="1104">
        <f>+G57-I57</f>
        <v/>
      </c>
      <c r="L57" s="1104">
        <f>+I57</f>
        <v/>
      </c>
      <c r="M57" s="1112" t="n"/>
      <c r="N57" s="353" t="n"/>
      <c r="O57" s="1105">
        <f>MAX((+(L57-M57)/($L$69-$O$67-$M$69)*(1-$O$67)),0)</f>
        <v/>
      </c>
      <c r="P57" s="1104">
        <f>+L57-M57-Q57</f>
        <v/>
      </c>
      <c r="Q57" s="1104">
        <f>(L57-M57)*(1-$L$25)</f>
        <v/>
      </c>
      <c r="R57" s="1115">
        <f>M57+P57+Q57</f>
        <v/>
      </c>
      <c r="U57" s="1117">
        <f>+B57</f>
        <v/>
      </c>
      <c r="V57" s="1104">
        <f>+P57</f>
        <v/>
      </c>
      <c r="W57" s="1104">
        <f>+Q57</f>
        <v/>
      </c>
      <c r="X57" s="1118">
        <f>+O57</f>
        <v/>
      </c>
      <c r="Y57" s="1119">
        <f>+$V57</f>
        <v/>
      </c>
      <c r="Z57" s="1119">
        <f>+$W57</f>
        <v/>
      </c>
      <c r="AA57" s="1120">
        <f>+$V57</f>
        <v/>
      </c>
      <c r="AB57" s="1119">
        <f>+$W57</f>
        <v/>
      </c>
      <c r="AC57" s="1120">
        <f>+$V57</f>
        <v/>
      </c>
      <c r="AD57" s="1119">
        <f>+$W57</f>
        <v/>
      </c>
      <c r="AE57" s="1120">
        <f>+$V57</f>
        <v/>
      </c>
      <c r="AF57" s="1119">
        <f>+$W57</f>
        <v/>
      </c>
      <c r="AG57" s="1120">
        <f>+$V57</f>
        <v/>
      </c>
      <c r="AH57" s="1119">
        <f>+$W57</f>
        <v/>
      </c>
      <c r="AI57" s="1120">
        <f>+$V57</f>
        <v/>
      </c>
      <c r="AJ57" s="1119">
        <f>+$W57</f>
        <v/>
      </c>
    </row>
    <row r="58" outlineLevel="1" ht="15" customHeight="1">
      <c r="A58" s="307" t="n"/>
      <c r="B58" s="1098" t="n"/>
      <c r="D58" s="1099" t="n"/>
      <c r="E58" s="1104">
        <f>+D58*$S$44</f>
        <v/>
      </c>
      <c r="F58" s="1112" t="n"/>
      <c r="G58" s="1104">
        <f>+E58+F58</f>
        <v/>
      </c>
      <c r="H58" s="1113" t="n"/>
      <c r="I58" s="1114">
        <f>+G58*H58</f>
        <v/>
      </c>
      <c r="J58" s="1104">
        <f>+G58-I58</f>
        <v/>
      </c>
      <c r="L58" s="1104">
        <f>+I58</f>
        <v/>
      </c>
      <c r="M58" s="1112" t="n"/>
      <c r="N58" s="353" t="n"/>
      <c r="O58" s="1105">
        <f>MAX((+(L58-M58)/($L$69-$O$67-$M$69)*(1-$O$67)),0)</f>
        <v/>
      </c>
      <c r="P58" s="1104">
        <f>+L58-M58-Q58</f>
        <v/>
      </c>
      <c r="Q58" s="1104">
        <f>(L58-M58)*(1-$L$25)</f>
        <v/>
      </c>
      <c r="R58" s="1115">
        <f>M58+P58+Q58</f>
        <v/>
      </c>
      <c r="U58" s="1117">
        <f>+B58</f>
        <v/>
      </c>
      <c r="V58" s="1104">
        <f>+P58</f>
        <v/>
      </c>
      <c r="W58" s="1104">
        <f>+Q58</f>
        <v/>
      </c>
      <c r="X58" s="1118">
        <f>+O58</f>
        <v/>
      </c>
      <c r="Y58" s="1119">
        <f>+$V58</f>
        <v/>
      </c>
      <c r="Z58" s="1119">
        <f>+$W58</f>
        <v/>
      </c>
      <c r="AA58" s="1120">
        <f>+$V58</f>
        <v/>
      </c>
      <c r="AB58" s="1119">
        <f>+$W58</f>
        <v/>
      </c>
      <c r="AC58" s="1120">
        <f>+$V58</f>
        <v/>
      </c>
      <c r="AD58" s="1119">
        <f>+$W58</f>
        <v/>
      </c>
      <c r="AE58" s="1120">
        <f>+$V58</f>
        <v/>
      </c>
      <c r="AF58" s="1119">
        <f>+$W58</f>
        <v/>
      </c>
      <c r="AG58" s="1120">
        <f>+$V58</f>
        <v/>
      </c>
      <c r="AH58" s="1119">
        <f>+$W58</f>
        <v/>
      </c>
      <c r="AI58" s="1120">
        <f>+$V58</f>
        <v/>
      </c>
      <c r="AJ58" s="1119">
        <f>+$W58</f>
        <v/>
      </c>
    </row>
    <row r="59" outlineLevel="1" ht="15" customHeight="1">
      <c r="A59" s="307" t="n"/>
      <c r="B59" s="1121" t="inlineStr">
        <is>
          <t>Reserved M&amp;A vendor</t>
        </is>
      </c>
      <c r="D59" s="1122" t="n"/>
      <c r="E59" s="1104">
        <f>+D59*$S$44</f>
        <v/>
      </c>
      <c r="F59" s="1123" t="n"/>
      <c r="G59" s="1104">
        <f>+E59+F59</f>
        <v/>
      </c>
      <c r="H59" s="1124" t="n"/>
      <c r="I59" s="1125">
        <f>+G59*H59</f>
        <v/>
      </c>
      <c r="J59" s="1104">
        <f>+G59-I59</f>
        <v/>
      </c>
      <c r="L59" s="1104">
        <f>+I59</f>
        <v/>
      </c>
      <c r="M59" s="1123" t="n"/>
      <c r="N59" s="353" t="n"/>
      <c r="O59" s="1105">
        <f>MAX((+(L59-M59)/($L$69-$O$67-$M$69)*(1-$O$67)),0)</f>
        <v/>
      </c>
      <c r="P59" s="1104">
        <f>+L59-M59-Q59</f>
        <v/>
      </c>
      <c r="Q59" s="1104">
        <f>(L59-M59)*(1-$L$25)</f>
        <v/>
      </c>
      <c r="R59" s="1115">
        <f>M59+P59+Q59</f>
        <v/>
      </c>
      <c r="U59" s="1117">
        <f>+B59</f>
        <v/>
      </c>
      <c r="V59" s="1104">
        <f>+P59</f>
        <v/>
      </c>
      <c r="W59" s="1104">
        <f>+Q59</f>
        <v/>
      </c>
      <c r="X59" s="1118">
        <f>+O59</f>
        <v/>
      </c>
      <c r="Y59" s="1119">
        <f>F112*H112*L25</f>
        <v/>
      </c>
      <c r="Z59" s="1119">
        <f>F112*H112*M25/Z71</f>
        <v/>
      </c>
      <c r="AA59" s="1126">
        <f>Y59+$F$113*$H$113*L25</f>
        <v/>
      </c>
      <c r="AB59" s="1127">
        <f>Z59+F113*H113*M25/AB71</f>
        <v/>
      </c>
      <c r="AC59" s="1126">
        <f>AA59+F114*H114*L25</f>
        <v/>
      </c>
      <c r="AD59" s="1119">
        <f>AB59+F114*H114*M25/AD71</f>
        <v/>
      </c>
      <c r="AE59" s="1126">
        <f>AC59+F115*H115*L25</f>
        <v/>
      </c>
      <c r="AF59" s="1119">
        <f>AD59+F115*H115*M25/AF71</f>
        <v/>
      </c>
      <c r="AG59" s="1120">
        <f>AE59+F116*H116*L25</f>
        <v/>
      </c>
      <c r="AH59" s="1119">
        <f>AF59+F116*H116*M25/AH71</f>
        <v/>
      </c>
      <c r="AI59" s="1120">
        <f>AG59+F117*H117*L25</f>
        <v/>
      </c>
      <c r="AJ59" s="1119">
        <f>AH59+F117*H117*M25/AJ71</f>
        <v/>
      </c>
    </row>
    <row r="60" ht="15" customFormat="1" customHeight="1" s="2">
      <c r="A60" s="459" t="n"/>
      <c r="B60" s="326" t="inlineStr">
        <is>
          <t>Vendor</t>
        </is>
      </c>
      <c r="C60" s="326" t="n"/>
      <c r="D60" s="326" t="n"/>
      <c r="E60" s="1128">
        <f>SUM(E54:E59)</f>
        <v/>
      </c>
      <c r="F60" s="1128">
        <f>SUM(F54:F59)</f>
        <v/>
      </c>
      <c r="G60" s="1128">
        <f>SUM(G54:G59)</f>
        <v/>
      </c>
      <c r="H60" s="326" t="n"/>
      <c r="I60" s="1128">
        <f>SUM(I54:I59)</f>
        <v/>
      </c>
      <c r="J60" s="1128">
        <f>SUM(J54:J59)</f>
        <v/>
      </c>
      <c r="L60" s="1129">
        <f>SUM(L54:L59)</f>
        <v/>
      </c>
      <c r="M60" s="1129">
        <f>SUM(M54:M59)</f>
        <v/>
      </c>
      <c r="N60" s="350">
        <f>SUM(N54:N59)</f>
        <v/>
      </c>
      <c r="O60" s="350">
        <f>SUM(O54:O59)</f>
        <v/>
      </c>
      <c r="P60" s="1129">
        <f>SUM(P54:P59)</f>
        <v/>
      </c>
      <c r="Q60" s="1129">
        <f>SUM(Q54:Q59)</f>
        <v/>
      </c>
      <c r="R60" s="1130">
        <f>SUM(R54:R59)</f>
        <v/>
      </c>
      <c r="U60" s="1131">
        <f>+B60</f>
        <v/>
      </c>
      <c r="V60" s="1129">
        <f>SUM(V54:V59)</f>
        <v/>
      </c>
      <c r="W60" s="1129">
        <f>SUM(W54:W59)</f>
        <v/>
      </c>
      <c r="X60" s="1132">
        <f>SUM(X54:X59)</f>
        <v/>
      </c>
      <c r="Y60" s="1133">
        <f>SUM(Y54:Y59)</f>
        <v/>
      </c>
      <c r="Z60" s="1134">
        <f>SUM(Z54:Z59)</f>
        <v/>
      </c>
      <c r="AA60" s="1135">
        <f>SUM(AA54:AA59)</f>
        <v/>
      </c>
      <c r="AB60" s="1134">
        <f>SUM(AB54:AB59)</f>
        <v/>
      </c>
      <c r="AC60" s="1135">
        <f>SUM(AC54:AC59)</f>
        <v/>
      </c>
      <c r="AD60" s="1134">
        <f>SUM(AD54:AD59)</f>
        <v/>
      </c>
      <c r="AE60" s="1135">
        <f>SUM(AE54:AE59)</f>
        <v/>
      </c>
      <c r="AF60" s="1134">
        <f>SUM(AF54:AF59)</f>
        <v/>
      </c>
      <c r="AG60" s="1135">
        <f>SUM(AG54:AG59)</f>
        <v/>
      </c>
      <c r="AH60" s="1134">
        <f>SUM(AH54:AH59)</f>
        <v/>
      </c>
      <c r="AI60" s="1135">
        <f>SUM(AI54:AI59)</f>
        <v/>
      </c>
      <c r="AJ60" s="1134">
        <f>SUM(AJ54:AJ59)</f>
        <v/>
      </c>
    </row>
    <row r="61" ht="15" customHeight="1">
      <c r="A61" s="307" t="n"/>
      <c r="B61" s="30" t="inlineStr">
        <is>
          <t>checks</t>
        </is>
      </c>
      <c r="C61" s="1136">
        <f>+IF(SUM(D61:R61)&lt;&gt;0,1,0)</f>
        <v/>
      </c>
      <c r="E61" s="1136">
        <f>+E60-S44</f>
        <v/>
      </c>
      <c r="F61" s="1136">
        <f>+F60-S40</f>
        <v/>
      </c>
      <c r="G61" s="1136">
        <f>+G60-E60-F60</f>
        <v/>
      </c>
      <c r="H61" s="1136" t="n"/>
      <c r="I61" s="1136">
        <f>ROUND(I60-M60-P60-Q60,1)</f>
        <v/>
      </c>
      <c r="J61" s="1136">
        <f>+I60+J60-G60</f>
        <v/>
      </c>
      <c r="K61" s="1136" t="n"/>
      <c r="L61" s="1136" t="n"/>
      <c r="M61" s="1136" t="n"/>
      <c r="N61" s="1136" t="n"/>
      <c r="O61" s="1136" t="n"/>
      <c r="P61" s="1136" t="n"/>
      <c r="Q61" s="1136" t="n"/>
      <c r="R61" s="1137">
        <f>ROUND((+R60-I60)+(R60-E86-E92-E82),1)</f>
        <v/>
      </c>
      <c r="U61" s="23" t="n"/>
      <c r="V61" s="1104" t="n"/>
      <c r="W61" s="1104" t="n"/>
      <c r="X61" s="1118" t="n"/>
      <c r="Y61" s="1104" t="n"/>
      <c r="Z61" s="1104" t="n"/>
      <c r="AA61" s="1138" t="n"/>
      <c r="AB61" s="1104" t="n"/>
      <c r="AC61" s="1138" t="n"/>
      <c r="AD61" s="1104" t="n"/>
      <c r="AE61" s="1138" t="n"/>
      <c r="AF61" s="1104" t="n"/>
      <c r="AG61" s="1138" t="n"/>
      <c r="AH61" s="1104" t="n"/>
      <c r="AI61" s="1138" t="n"/>
      <c r="AJ61" s="1104" t="n"/>
    </row>
    <row r="62" ht="15" customHeight="1">
      <c r="A62" s="307" t="n"/>
      <c r="E62" s="1139" t="n"/>
      <c r="F62" s="1139" t="n"/>
      <c r="G62" s="1139" t="n"/>
      <c r="H62" s="1139" t="n"/>
      <c r="I62" s="1139" t="n"/>
      <c r="J62" s="1139" t="n"/>
      <c r="R62" s="1139" t="n"/>
      <c r="U62" s="23" t="n"/>
      <c r="V62" s="1104" t="n"/>
      <c r="W62" s="1104" t="n"/>
      <c r="X62" s="1118" t="n"/>
      <c r="Y62" s="1104" t="n"/>
      <c r="Z62" s="1104" t="n"/>
      <c r="AA62" s="1138" t="n"/>
      <c r="AB62" s="1104" t="n"/>
      <c r="AC62" s="1138" t="n"/>
      <c r="AD62" s="1104" t="n"/>
      <c r="AE62" s="1138" t="n"/>
      <c r="AF62" s="1104" t="n"/>
      <c r="AG62" s="1138" t="n"/>
      <c r="AH62" s="1104" t="n"/>
      <c r="AI62" s="1138" t="n"/>
      <c r="AJ62" s="1104" t="n"/>
    </row>
    <row r="63" outlineLevel="1" ht="15" customHeight="1">
      <c r="A63" s="307" t="n"/>
      <c r="B63" s="1098" t="inlineStr">
        <is>
          <t>[New management 1]</t>
        </is>
      </c>
      <c r="D63" s="353" t="n"/>
      <c r="E63" s="353" t="n"/>
      <c r="F63" s="353" t="n"/>
      <c r="G63" s="353" t="n"/>
      <c r="H63" s="353" t="n"/>
      <c r="I63" s="353" t="n"/>
      <c r="J63" s="353" t="n"/>
      <c r="L63" s="1112" t="n"/>
      <c r="M63" s="1112" t="n"/>
      <c r="N63" s="353" t="n"/>
      <c r="O63" s="1105">
        <f>MAX((+(L63-M63)/($L$69-$O$67-$M$69)*(1-$O$67)),0)</f>
        <v/>
      </c>
      <c r="P63" s="1104">
        <f>+L63-M63-Q63</f>
        <v/>
      </c>
      <c r="Q63" s="1104">
        <f>(L63-M63)*(1-$L$25)</f>
        <v/>
      </c>
      <c r="R63" s="1115">
        <f>M63+P63+Q63</f>
        <v/>
      </c>
      <c r="U63" s="72">
        <f>+B63</f>
        <v/>
      </c>
      <c r="V63" s="1104">
        <f>+P63</f>
        <v/>
      </c>
      <c r="W63" s="1104">
        <f>+Q63</f>
        <v/>
      </c>
      <c r="X63" s="1118">
        <f>+O63</f>
        <v/>
      </c>
      <c r="Y63" s="1119">
        <f>+$V63</f>
        <v/>
      </c>
      <c r="Z63" s="1104">
        <f>+$W63</f>
        <v/>
      </c>
      <c r="AA63" s="1120">
        <f>+$V63</f>
        <v/>
      </c>
      <c r="AB63" s="1119">
        <f>+$W63</f>
        <v/>
      </c>
      <c r="AC63" s="1120">
        <f>+$V63</f>
        <v/>
      </c>
      <c r="AD63" s="1119">
        <f>+$W63</f>
        <v/>
      </c>
      <c r="AE63" s="1120">
        <f>+$V63</f>
        <v/>
      </c>
      <c r="AF63" s="1119">
        <f>+$W63</f>
        <v/>
      </c>
      <c r="AG63" s="1120">
        <f>+$V63</f>
        <v/>
      </c>
      <c r="AH63" s="1119">
        <f>+$W63</f>
        <v/>
      </c>
      <c r="AI63" s="1120">
        <f>+$V63</f>
        <v/>
      </c>
      <c r="AJ63" s="1119">
        <f>+$W63</f>
        <v/>
      </c>
    </row>
    <row r="64" outlineLevel="1" ht="15" customHeight="1">
      <c r="A64" s="307" t="n"/>
      <c r="B64" s="1098" t="inlineStr">
        <is>
          <t>[New management 2]</t>
        </is>
      </c>
      <c r="D64" s="353" t="n"/>
      <c r="E64" s="353" t="n"/>
      <c r="F64" s="353" t="n"/>
      <c r="G64" s="353" t="n"/>
      <c r="H64" s="353" t="n"/>
      <c r="I64" s="353" t="n"/>
      <c r="J64" s="353" t="n"/>
      <c r="L64" s="1112" t="n"/>
      <c r="M64" s="1112" t="n"/>
      <c r="N64" s="353" t="n"/>
      <c r="O64" s="1105">
        <f>MAX((+(L64-M64)/($L$69-$O$67-$M$69)*(1-$O$67)),0)</f>
        <v/>
      </c>
      <c r="P64" s="1104">
        <f>+L64-M64-Q64</f>
        <v/>
      </c>
      <c r="Q64" s="1104">
        <f>(L64-M64)*(1-$L$25)</f>
        <v/>
      </c>
      <c r="R64" s="1115">
        <f>M64+P64+Q64</f>
        <v/>
      </c>
      <c r="U64" s="72">
        <f>+B64</f>
        <v/>
      </c>
      <c r="V64" s="1104">
        <f>+P64</f>
        <v/>
      </c>
      <c r="W64" s="1104">
        <f>+Q64</f>
        <v/>
      </c>
      <c r="X64" s="1118">
        <f>+O64</f>
        <v/>
      </c>
      <c r="Y64" s="1119">
        <f>+$V64</f>
        <v/>
      </c>
      <c r="Z64" s="1104">
        <f>+$W64</f>
        <v/>
      </c>
      <c r="AA64" s="1120">
        <f>+$V64</f>
        <v/>
      </c>
      <c r="AB64" s="1119">
        <f>+$W64</f>
        <v/>
      </c>
      <c r="AC64" s="1120">
        <f>+$V64</f>
        <v/>
      </c>
      <c r="AD64" s="1119">
        <f>+$W64</f>
        <v/>
      </c>
      <c r="AE64" s="1120">
        <f>+$V64</f>
        <v/>
      </c>
      <c r="AF64" s="1119">
        <f>+$W64</f>
        <v/>
      </c>
      <c r="AG64" s="1120">
        <f>+$V64</f>
        <v/>
      </c>
      <c r="AH64" s="1119">
        <f>+$W64</f>
        <v/>
      </c>
      <c r="AI64" s="1120">
        <f>+$V64</f>
        <v/>
      </c>
      <c r="AJ64" s="1119">
        <f>+$W64</f>
        <v/>
      </c>
    </row>
    <row r="65" outlineLevel="1" ht="15" customHeight="1">
      <c r="A65" s="307" t="n"/>
      <c r="B65" s="1098" t="inlineStr">
        <is>
          <t>[New management 3]</t>
        </is>
      </c>
      <c r="D65" s="353" t="n"/>
      <c r="E65" s="353" t="n"/>
      <c r="F65" s="353" t="n"/>
      <c r="G65" s="353" t="n"/>
      <c r="H65" s="353" t="n"/>
      <c r="I65" s="353" t="n"/>
      <c r="J65" s="353" t="n"/>
      <c r="L65" s="1112" t="n"/>
      <c r="M65" s="1112" t="n"/>
      <c r="N65" s="353" t="n"/>
      <c r="O65" s="1105">
        <f>MAX((+(L65-M65)/($L$69-$O$67-$M$69)*(1-$O$67)),0)</f>
        <v/>
      </c>
      <c r="P65" s="1104">
        <f>+L65-M65-Q65</f>
        <v/>
      </c>
      <c r="Q65" s="1104">
        <f>(L65-M65)*(1-$L$25)</f>
        <v/>
      </c>
      <c r="R65" s="1115">
        <f>M65+P65+Q65</f>
        <v/>
      </c>
      <c r="U65" s="72">
        <f>+B65</f>
        <v/>
      </c>
      <c r="V65" s="1104">
        <f>+P65</f>
        <v/>
      </c>
      <c r="W65" s="1104">
        <f>+Q65</f>
        <v/>
      </c>
      <c r="X65" s="1118">
        <f>+O65</f>
        <v/>
      </c>
      <c r="Y65" s="1119">
        <f>+$V65</f>
        <v/>
      </c>
      <c r="Z65" s="1104">
        <f>+$W65</f>
        <v/>
      </c>
      <c r="AA65" s="1120">
        <f>+$V65</f>
        <v/>
      </c>
      <c r="AB65" s="1119">
        <f>+$W65</f>
        <v/>
      </c>
      <c r="AC65" s="1120">
        <f>+$V65</f>
        <v/>
      </c>
      <c r="AD65" s="1119">
        <f>+$W65</f>
        <v/>
      </c>
      <c r="AE65" s="1120">
        <f>+$V65</f>
        <v/>
      </c>
      <c r="AF65" s="1119">
        <f>+$W65</f>
        <v/>
      </c>
      <c r="AG65" s="1120">
        <f>+$V65</f>
        <v/>
      </c>
      <c r="AH65" s="1119">
        <f>+$W65</f>
        <v/>
      </c>
      <c r="AI65" s="1120">
        <f>+$V65</f>
        <v/>
      </c>
      <c r="AJ65" s="1119">
        <f>+$W65</f>
        <v/>
      </c>
    </row>
    <row r="66" ht="15" customHeight="1">
      <c r="A66" s="307" t="n"/>
      <c r="B66" s="1" t="inlineStr">
        <is>
          <t>Blixt (Day 1)</t>
        </is>
      </c>
      <c r="D66" s="353" t="n"/>
      <c r="E66" s="353" t="n"/>
      <c r="F66" s="353" t="n"/>
      <c r="G66" s="353" t="n"/>
      <c r="H66" s="353" t="n"/>
      <c r="I66" s="353" t="n"/>
      <c r="J66" s="353" t="n"/>
      <c r="L66" s="1104">
        <f>+S47-L60-E15-E16-L63-L64-L65-L67</f>
        <v/>
      </c>
      <c r="M66" s="353" t="n"/>
      <c r="N66" s="1112" t="n"/>
      <c r="O66" s="1105">
        <f>Q66/($Q$60+$Q$68)</f>
        <v/>
      </c>
      <c r="P66" s="1104">
        <f>L66-N66-Q66</f>
        <v/>
      </c>
      <c r="Q66" s="1104">
        <f>IF(L23,(L66+L82)*(1-$L$25),L66*(1-$L$25))</f>
        <v/>
      </c>
      <c r="R66" s="1115">
        <f>M66+P66+Q66</f>
        <v/>
      </c>
      <c r="T66" s="1140" t="n"/>
      <c r="U66" s="72">
        <f>+B66</f>
        <v/>
      </c>
      <c r="V66" s="1104">
        <f>+P66</f>
        <v/>
      </c>
      <c r="W66" s="1104">
        <f>+Q66</f>
        <v/>
      </c>
      <c r="X66" s="1118">
        <f>+O66</f>
        <v/>
      </c>
      <c r="Y66" s="1104">
        <f>+$V66+Y70</f>
        <v/>
      </c>
      <c r="Z66" s="1104">
        <f>+Q66+Z72</f>
        <v/>
      </c>
      <c r="AA66" s="1138">
        <f>+$Y66+AA70</f>
        <v/>
      </c>
      <c r="AB66" s="1104">
        <f>+Z66+AB72</f>
        <v/>
      </c>
      <c r="AC66" s="1138">
        <f>+$AA66+AC70</f>
        <v/>
      </c>
      <c r="AD66" s="1104">
        <f>+AB66+AD72</f>
        <v/>
      </c>
      <c r="AE66" s="1138">
        <f>+$AC66+AE70</f>
        <v/>
      </c>
      <c r="AF66" s="1104">
        <f>+AD66+AF72</f>
        <v/>
      </c>
      <c r="AG66" s="1138">
        <f>+$AE66+AG70</f>
        <v/>
      </c>
      <c r="AH66" s="1104">
        <f>+AF66+AH72</f>
        <v/>
      </c>
      <c r="AI66" s="1138">
        <f>+$AG66+AI70</f>
        <v/>
      </c>
      <c r="AJ66" s="1104">
        <f>+AH66+AJ72</f>
        <v/>
      </c>
    </row>
    <row r="67" ht="15" customHeight="1">
      <c r="A67" s="307" t="n"/>
      <c r="B67" s="1" t="inlineStr">
        <is>
          <t>Sweet</t>
        </is>
      </c>
      <c r="D67" s="353" t="n"/>
      <c r="E67" s="353" t="n"/>
      <c r="F67" s="353" t="n"/>
      <c r="G67" s="353" t="n"/>
      <c r="H67" s="353" t="n"/>
      <c r="I67" s="353" t="n"/>
      <c r="J67" s="353" t="n"/>
      <c r="L67" s="1078">
        <f>+P67+Q67</f>
        <v/>
      </c>
      <c r="M67" s="353" t="n"/>
      <c r="N67" s="353" t="n"/>
      <c r="O67" s="1105">
        <f>Q67/($Q$60+$Q$68)</f>
        <v/>
      </c>
      <c r="P67" s="1104">
        <f>Q67/M26*(1-M26)</f>
        <v/>
      </c>
      <c r="Q67" s="1104">
        <f>L21*L24</f>
        <v/>
      </c>
      <c r="R67" s="1115">
        <f>M67+P67+Q67</f>
        <v/>
      </c>
      <c r="U67" s="72">
        <f>+B67</f>
        <v/>
      </c>
      <c r="V67" s="1104">
        <f>+P67</f>
        <v/>
      </c>
      <c r="W67" s="1104">
        <f>+Q67</f>
        <v/>
      </c>
      <c r="X67" s="1118">
        <f>+O67</f>
        <v/>
      </c>
      <c r="Y67" s="1119">
        <f>+$V67</f>
        <v/>
      </c>
      <c r="Z67" s="1104">
        <f>+$W67</f>
        <v/>
      </c>
      <c r="AA67" s="1120">
        <f>+$V67</f>
        <v/>
      </c>
      <c r="AB67" s="1119">
        <f>+$W67</f>
        <v/>
      </c>
      <c r="AC67" s="1120">
        <f>+$V67</f>
        <v/>
      </c>
      <c r="AD67" s="1119">
        <f>+$W67</f>
        <v/>
      </c>
      <c r="AE67" s="1120">
        <f>+$V67</f>
        <v/>
      </c>
      <c r="AF67" s="1119">
        <f>+$W67</f>
        <v/>
      </c>
      <c r="AG67" s="1120">
        <f>+$V67</f>
        <v/>
      </c>
      <c r="AH67" s="1119">
        <f>+$W67</f>
        <v/>
      </c>
      <c r="AI67" s="1120">
        <f>+$V67</f>
        <v/>
      </c>
      <c r="AJ67" s="1119">
        <f>+$W67</f>
        <v/>
      </c>
    </row>
    <row r="68" ht="15" customFormat="1" customHeight="1" s="2">
      <c r="A68" s="459" t="n"/>
      <c r="B68" s="326" t="inlineStr">
        <is>
          <t>New shareholders</t>
        </is>
      </c>
      <c r="C68" s="326" t="n"/>
      <c r="D68" s="1128" t="n"/>
      <c r="E68" s="1128" t="n"/>
      <c r="F68" s="1128" t="n"/>
      <c r="G68" s="1128" t="n"/>
      <c r="H68" s="1128" t="n"/>
      <c r="I68" s="1128" t="n"/>
      <c r="J68" s="1128" t="n"/>
      <c r="K68" s="1" t="n"/>
      <c r="L68" s="1128">
        <f>SUM(L63:L67)</f>
        <v/>
      </c>
      <c r="M68" s="1128">
        <f>SUM(M63:M67)</f>
        <v/>
      </c>
      <c r="N68" s="1128">
        <f>SUM(N63:N67)</f>
        <v/>
      </c>
      <c r="O68" s="1141">
        <f>SUM(O63:O67)</f>
        <v/>
      </c>
      <c r="P68" s="1128">
        <f>SUM(P63:P67)</f>
        <v/>
      </c>
      <c r="Q68" s="1128">
        <f>SUM(Q63:Q67)</f>
        <v/>
      </c>
      <c r="R68" s="1142">
        <f>SUM(R63:R67)</f>
        <v/>
      </c>
      <c r="U68" s="404">
        <f>+B68</f>
        <v/>
      </c>
      <c r="V68" s="1143">
        <f>SUM(V63:V67)</f>
        <v/>
      </c>
      <c r="W68" s="1143">
        <f>SUM(W63:W67)</f>
        <v/>
      </c>
      <c r="X68" s="1144">
        <f>SUM(X63:X67)</f>
        <v/>
      </c>
      <c r="Y68" s="1143">
        <f>SUM(Y63:Y67)</f>
        <v/>
      </c>
      <c r="Z68" s="1143">
        <f>SUM(Z63:Z67)</f>
        <v/>
      </c>
      <c r="AA68" s="1145">
        <f>SUM(AA63:AA67)</f>
        <v/>
      </c>
      <c r="AB68" s="1143">
        <f>SUM(AB63:AB67)</f>
        <v/>
      </c>
      <c r="AC68" s="1145">
        <f>SUM(AC63:AC67)</f>
        <v/>
      </c>
      <c r="AD68" s="1143">
        <f>SUM(AD63:AD67)</f>
        <v/>
      </c>
      <c r="AE68" s="1145">
        <f>SUM(AE63:AE67)</f>
        <v/>
      </c>
      <c r="AF68" s="1143">
        <f>SUM(AF63:AF67)</f>
        <v/>
      </c>
      <c r="AG68" s="1145">
        <f>SUM(AG63:AG67)</f>
        <v/>
      </c>
      <c r="AH68" s="1143">
        <f>SUM(AH63:AH67)</f>
        <v/>
      </c>
      <c r="AI68" s="1145">
        <f>SUM(AI63:AI67)</f>
        <v/>
      </c>
      <c r="AJ68" s="1143">
        <f>SUM(AJ63:AJ67)</f>
        <v/>
      </c>
    </row>
    <row r="69" ht="15" customFormat="1" customHeight="1" s="2">
      <c r="A69" s="459" t="n"/>
      <c r="B69" s="326" t="inlineStr">
        <is>
          <t>Total funding</t>
        </is>
      </c>
      <c r="C69" s="326" t="n"/>
      <c r="D69" s="1128" t="n"/>
      <c r="E69" s="1128">
        <f>+E60+E68</f>
        <v/>
      </c>
      <c r="F69" s="1128" t="n"/>
      <c r="G69" s="1128">
        <f>+G60+G68</f>
        <v/>
      </c>
      <c r="H69" s="1128" t="n"/>
      <c r="I69" s="1128">
        <f>+I60+I68</f>
        <v/>
      </c>
      <c r="J69" s="1128">
        <f>+J60+J68</f>
        <v/>
      </c>
      <c r="K69" s="1" t="n"/>
      <c r="L69" s="1128">
        <f>+L60+L68</f>
        <v/>
      </c>
      <c r="M69" s="1128">
        <f>+M60+M68</f>
        <v/>
      </c>
      <c r="N69" s="1128">
        <f>+N60+N68</f>
        <v/>
      </c>
      <c r="O69" s="1141">
        <f>+O60+O68</f>
        <v/>
      </c>
      <c r="P69" s="1128">
        <f>+P60+P68</f>
        <v/>
      </c>
      <c r="Q69" s="1128">
        <f>+Q60+Q68</f>
        <v/>
      </c>
      <c r="R69" s="1142">
        <f>+R60+R68</f>
        <v/>
      </c>
      <c r="U69" s="89" t="inlineStr">
        <is>
          <t>Total</t>
        </is>
      </c>
      <c r="V69" s="1146">
        <f>+V68+V60</f>
        <v/>
      </c>
      <c r="W69" s="1146">
        <f>+W68+W60</f>
        <v/>
      </c>
      <c r="X69" s="1147">
        <f>+X68+X60</f>
        <v/>
      </c>
      <c r="Y69" s="1146">
        <f>+Y68+Y60</f>
        <v/>
      </c>
      <c r="Z69" s="1146">
        <f>+Z68+Z60</f>
        <v/>
      </c>
      <c r="AA69" s="1148">
        <f>+AA68+AA60</f>
        <v/>
      </c>
      <c r="AB69" s="1146">
        <f>+AB68+AB60</f>
        <v/>
      </c>
      <c r="AC69" s="1148">
        <f>+AC68+AC60</f>
        <v/>
      </c>
      <c r="AD69" s="1146">
        <f>+AD68+AD60</f>
        <v/>
      </c>
      <c r="AE69" s="1149">
        <f>+AE68+AE60</f>
        <v/>
      </c>
      <c r="AF69" s="1146">
        <f>+AF68+AF60</f>
        <v/>
      </c>
      <c r="AG69" s="1149">
        <f>+AG68+AG60</f>
        <v/>
      </c>
      <c r="AH69" s="1146">
        <f>+AH68+AH60</f>
        <v/>
      </c>
      <c r="AI69" s="1148">
        <f>+AI68+AI60</f>
        <v/>
      </c>
      <c r="AJ69" s="1146">
        <f>+AJ68+AJ60</f>
        <v/>
      </c>
    </row>
    <row r="70" ht="15" customFormat="1" customHeight="1" s="2">
      <c r="A70" s="459" t="n"/>
      <c r="D70" s="1150" t="n"/>
      <c r="E70" s="1150" t="n"/>
      <c r="F70" s="1150" t="n"/>
      <c r="G70" s="1150" t="n"/>
      <c r="H70" s="1150" t="n"/>
      <c r="I70" s="1150" t="n"/>
      <c r="J70" s="1150" t="n"/>
      <c r="K70" s="1" t="n"/>
      <c r="L70" s="1061" t="n"/>
      <c r="M70" s="1150" t="n"/>
      <c r="N70" s="1061" t="n"/>
      <c r="O70" s="1061" t="n"/>
      <c r="P70" s="658" t="n"/>
      <c r="Q70" s="1151" t="n"/>
      <c r="R70" s="1150" t="n"/>
      <c r="U70" s="419" t="inlineStr">
        <is>
          <t>Blixt injections</t>
        </is>
      </c>
      <c r="V70" s="420" t="n"/>
      <c r="W70" s="420" t="n"/>
      <c r="X70" s="420" t="n"/>
      <c r="Y70" s="1130">
        <f>+I231*$L$25</f>
        <v/>
      </c>
      <c r="Z70" s="1129">
        <f>+I231-Y70</f>
        <v/>
      </c>
      <c r="AA70" s="1152">
        <f>+J231*$L$25</f>
        <v/>
      </c>
      <c r="AB70" s="1129">
        <f>+J231-AA70</f>
        <v/>
      </c>
      <c r="AC70" s="1152">
        <f>+K231*$L$25</f>
        <v/>
      </c>
      <c r="AD70" s="1129">
        <f>+K231-AC70</f>
        <v/>
      </c>
      <c r="AE70" s="1152">
        <f>+L231*$L$25</f>
        <v/>
      </c>
      <c r="AF70" s="1129">
        <f>+L231-AE70</f>
        <v/>
      </c>
      <c r="AG70" s="1152">
        <f>+M231*$L$25</f>
        <v/>
      </c>
      <c r="AH70" s="1129">
        <f>+M231-AG70</f>
        <v/>
      </c>
      <c r="AI70" s="1152">
        <f>+N231*$L$25</f>
        <v/>
      </c>
      <c r="AJ70" s="1153">
        <f>+N231-AI70</f>
        <v/>
      </c>
    </row>
    <row r="71" ht="15" customFormat="1" customHeight="1" s="2">
      <c r="A71" s="459" t="n"/>
      <c r="B71" s="30" t="inlineStr">
        <is>
          <t>checks</t>
        </is>
      </c>
      <c r="C71" s="1136">
        <f>+IF(SUM(D71:R71)&gt;10^-6,1,0)</f>
        <v/>
      </c>
      <c r="D71" s="1150" t="n"/>
      <c r="E71" s="1150" t="n"/>
      <c r="F71" s="1150" t="n"/>
      <c r="G71" s="1150" t="n"/>
      <c r="H71" s="1150" t="n"/>
      <c r="I71" s="1150" t="n"/>
      <c r="J71" s="1150" t="n"/>
      <c r="L71" s="1136">
        <f>ABS(+S47-L69-E16-E15)</f>
        <v/>
      </c>
      <c r="M71" s="1136" t="n"/>
      <c r="N71" s="1136" t="n"/>
      <c r="O71" s="1136" t="n"/>
      <c r="P71" s="1136" t="n"/>
      <c r="Q71" s="1136" t="n"/>
      <c r="R71" s="1136">
        <f>ABS(S47-R69-E16-E15-N69)</f>
        <v/>
      </c>
      <c r="U71" s="425" t="inlineStr">
        <is>
          <t>Share price</t>
        </is>
      </c>
      <c r="V71" s="421" t="n"/>
      <c r="W71" s="421" t="n"/>
      <c r="X71" s="1154" t="n"/>
      <c r="Y71" s="432" t="n"/>
      <c r="Z71" s="1155">
        <f>MAX(+M24,M24)</f>
        <v/>
      </c>
      <c r="AA71" s="1156" t="n"/>
      <c r="AB71" s="1155">
        <f>MAX(+I367/Z69,M24)</f>
        <v/>
      </c>
      <c r="AC71" s="1156" t="n"/>
      <c r="AD71" s="1155">
        <f>MAX(+J367/AB69,,M24)</f>
        <v/>
      </c>
      <c r="AE71" s="1156" t="n"/>
      <c r="AF71" s="1155">
        <f>MAX(K367/AD69,M24)</f>
        <v/>
      </c>
      <c r="AG71" s="1156" t="n"/>
      <c r="AH71" s="1155">
        <f>MAX(L367/AF69,M24)</f>
        <v/>
      </c>
      <c r="AI71" s="1156" t="n"/>
      <c r="AJ71" s="1157">
        <f>MAX(M367/AH69,M24)</f>
        <v/>
      </c>
      <c r="AK71" s="30" t="inlineStr">
        <is>
          <t>Minimum price of £1</t>
        </is>
      </c>
    </row>
    <row r="72" ht="15" customFormat="1" customHeight="1" s="2">
      <c r="A72" s="459" t="n"/>
      <c r="D72" s="1150" t="n"/>
      <c r="E72" s="1150" t="n"/>
      <c r="F72" s="1150" t="n"/>
      <c r="G72" s="1150" t="n"/>
      <c r="H72" s="1150" t="n"/>
      <c r="I72" s="1150" t="n"/>
      <c r="J72" s="1150" t="n"/>
      <c r="M72" s="1150" t="n"/>
      <c r="N72" s="1139" t="n"/>
      <c r="O72" s="1139" t="n"/>
      <c r="P72" s="1151" t="n"/>
      <c r="Q72" s="1151" t="n"/>
      <c r="R72" s="1150" t="n"/>
      <c r="U72" s="427" t="inlineStr">
        <is>
          <t># new shares</t>
        </is>
      </c>
      <c r="V72" s="428" t="n"/>
      <c r="W72" s="428" t="n"/>
      <c r="X72" s="1158" t="n"/>
      <c r="Y72" s="433" t="n"/>
      <c r="Z72" s="430">
        <f>+Z70/Z71</f>
        <v/>
      </c>
      <c r="AA72" s="435" t="n"/>
      <c r="AB72" s="430">
        <f>+AB70/AB71</f>
        <v/>
      </c>
      <c r="AC72" s="436" t="n"/>
      <c r="AD72" s="430">
        <f>+AD70/AD71</f>
        <v/>
      </c>
      <c r="AE72" s="436" t="n"/>
      <c r="AF72" s="430">
        <f>+AF70/AF71</f>
        <v/>
      </c>
      <c r="AG72" s="436" t="n"/>
      <c r="AH72" s="430">
        <f>+AH70/AH71</f>
        <v/>
      </c>
      <c r="AI72" s="436" t="n"/>
      <c r="AJ72" s="431">
        <f>+AJ70/AJ71</f>
        <v/>
      </c>
    </row>
    <row r="73" outlineLevel="1" ht="15" customFormat="1" customHeight="1" s="2">
      <c r="A73" s="459" t="n"/>
      <c r="D73" s="1150" t="n"/>
      <c r="E73" s="1150" t="n"/>
      <c r="F73" s="1150" t="n"/>
      <c r="G73" s="1150" t="n"/>
      <c r="H73" s="1150" t="n"/>
      <c r="I73" s="1150" t="n"/>
      <c r="J73" s="1150" t="n"/>
      <c r="L73" s="1150" t="n"/>
      <c r="M73" s="1150" t="n"/>
      <c r="O73" s="1139" t="n"/>
      <c r="P73" s="1150" t="n"/>
      <c r="Q73" s="1150" t="n"/>
      <c r="R73" s="1150" t="n"/>
      <c r="U73" s="72" t="n"/>
      <c r="V73" s="23" t="n"/>
      <c r="W73" s="23" t="n"/>
      <c r="X73" s="1105" t="n"/>
      <c r="Y73" s="23" t="n"/>
      <c r="Z73" s="424" t="n"/>
      <c r="AA73" s="424" t="n"/>
      <c r="AB73" s="424" t="n"/>
      <c r="AC73" s="1" t="n"/>
      <c r="AD73" s="424" t="n"/>
      <c r="AE73" s="1" t="n"/>
      <c r="AF73" s="424" t="n"/>
      <c r="AG73" s="1" t="n"/>
      <c r="AH73" s="424" t="n"/>
      <c r="AI73" s="1" t="n"/>
      <c r="AJ73" s="424" t="n"/>
    </row>
    <row r="74" outlineLevel="1" ht="15" customFormat="1" customHeight="1" s="2">
      <c r="A74" s="459" t="n"/>
      <c r="D74" s="1150" t="n"/>
      <c r="E74" s="1150" t="n"/>
      <c r="F74" s="1150" t="n"/>
      <c r="G74" s="1150" t="n"/>
      <c r="H74" s="1150" t="n"/>
      <c r="I74" s="1150" t="n"/>
      <c r="J74" s="1150" t="n"/>
      <c r="L74" s="1150" t="n"/>
      <c r="M74" s="1150" t="n"/>
      <c r="N74" s="1139" t="n"/>
      <c r="O74" s="1139" t="n"/>
      <c r="P74" s="1150" t="n"/>
      <c r="Q74" s="1150" t="n"/>
      <c r="R74" s="1150" t="n"/>
      <c r="U74" s="437" t="inlineStr">
        <is>
          <t>Vendor</t>
        </is>
      </c>
      <c r="V74" s="438" t="n"/>
      <c r="W74" s="438" t="n"/>
      <c r="X74" s="1159" t="n"/>
      <c r="Y74" s="438" t="n"/>
      <c r="Z74" s="1160">
        <f>SUM(Z54:Z58)/Z69</f>
        <v/>
      </c>
      <c r="AA74" s="1160" t="n"/>
      <c r="AB74" s="1160">
        <f>SUM(AB54:AB58)/AB69</f>
        <v/>
      </c>
      <c r="AC74" s="1160" t="n"/>
      <c r="AD74" s="1160">
        <f>SUM(AD54:AD58)/AD69</f>
        <v/>
      </c>
      <c r="AE74" s="308" t="n"/>
      <c r="AF74" s="1160">
        <f>SUM(AF54:AF58)/AF69</f>
        <v/>
      </c>
      <c r="AG74" s="308" t="n"/>
      <c r="AH74" s="1160">
        <f>SUM(AH54:AH58)/AH69</f>
        <v/>
      </c>
      <c r="AI74" s="308" t="n"/>
      <c r="AJ74" s="1161">
        <f>SUM(AJ54:AJ58)/AJ69</f>
        <v/>
      </c>
    </row>
    <row r="75" outlineLevel="1" ht="15" customFormat="1" customHeight="1" s="2">
      <c r="A75" s="459" t="n"/>
      <c r="D75" s="1150" t="n"/>
      <c r="E75" s="1150" t="n"/>
      <c r="F75" s="1150" t="n"/>
      <c r="G75" s="1150" t="n"/>
      <c r="H75" s="1150" t="n"/>
      <c r="I75" s="1150" t="n"/>
      <c r="J75" s="1150" t="n"/>
      <c r="L75" s="1150" t="n"/>
      <c r="M75" s="1150" t="n"/>
      <c r="N75" s="1139" t="n"/>
      <c r="O75" s="1139" t="n"/>
      <c r="P75" s="1150" t="n"/>
      <c r="Q75" s="1150" t="n"/>
      <c r="R75" s="1150" t="n"/>
      <c r="U75" s="306" t="inlineStr">
        <is>
          <t>Tuck-in vendors</t>
        </is>
      </c>
      <c r="Z75" s="1162">
        <f>Z59/Z69</f>
        <v/>
      </c>
      <c r="AB75" s="1162">
        <f>AB59/AB69</f>
        <v/>
      </c>
      <c r="AD75" s="1162">
        <f>AD59/AD69</f>
        <v/>
      </c>
      <c r="AF75" s="1162">
        <f>AF59/AF69</f>
        <v/>
      </c>
      <c r="AH75" s="1162">
        <f>AH59/AH69</f>
        <v/>
      </c>
      <c r="AJ75" s="1163">
        <f>AJ59/AJ69</f>
        <v/>
      </c>
    </row>
    <row r="76" outlineLevel="1" ht="15" customFormat="1" customHeight="1" s="2">
      <c r="A76" s="459" t="n"/>
      <c r="D76" s="1150" t="n"/>
      <c r="E76" s="1150" t="n"/>
      <c r="F76" s="1150" t="n"/>
      <c r="G76" s="1150" t="n"/>
      <c r="H76" s="1150" t="n"/>
      <c r="I76" s="1150" t="n"/>
      <c r="J76" s="1150" t="n"/>
      <c r="L76" s="1150" t="n"/>
      <c r="M76" s="1150" t="n"/>
      <c r="N76" s="1139" t="n"/>
      <c r="O76" s="1139" t="n"/>
      <c r="P76" s="1150" t="n"/>
      <c r="Q76" s="1150" t="n"/>
      <c r="R76" s="1150" t="n"/>
      <c r="U76" s="306" t="inlineStr">
        <is>
          <t xml:space="preserve">Managament </t>
        </is>
      </c>
      <c r="V76" s="442" t="n"/>
      <c r="W76" s="442" t="n"/>
      <c r="X76" s="442" t="n"/>
      <c r="Y76" s="442" t="n"/>
      <c r="Z76" s="1162">
        <f>+(SUM(Z63:Z65,Z67)/Z69)</f>
        <v/>
      </c>
      <c r="AA76" s="442" t="n"/>
      <c r="AB76" s="1162">
        <f>+(SUM(AB63:AB65,AB67)/AB69)</f>
        <v/>
      </c>
      <c r="AD76" s="1162">
        <f>+(SUM(AD63:AD65,AD67)/AD69)</f>
        <v/>
      </c>
      <c r="AF76" s="1162">
        <f>+(SUM(AF63:AF65,AF67)/AF69)</f>
        <v/>
      </c>
      <c r="AH76" s="1162">
        <f>+(SUM(AH63:AH65,AH67)/AH69)</f>
        <v/>
      </c>
      <c r="AJ76" s="1163">
        <f>+(SUM(AJ63:AJ65,AJ67)/AJ69)</f>
        <v/>
      </c>
    </row>
    <row r="77" outlineLevel="1" ht="15" customFormat="1" customHeight="1" s="2">
      <c r="A77" s="459" t="n"/>
      <c r="D77" s="1150" t="n"/>
      <c r="E77" s="1150" t="n"/>
      <c r="F77" s="1150" t="n"/>
      <c r="G77" s="1150" t="n"/>
      <c r="H77" s="1150" t="n"/>
      <c r="I77" s="1150" t="n"/>
      <c r="J77" s="1150" t="n"/>
      <c r="L77" s="1150" t="n"/>
      <c r="M77" s="1150" t="n"/>
      <c r="N77" s="1139" t="n"/>
      <c r="O77" s="1139" t="n"/>
      <c r="P77" s="1150" t="n"/>
      <c r="Q77" s="1150" t="n"/>
      <c r="R77" s="1150" t="n"/>
      <c r="U77" s="20" t="inlineStr">
        <is>
          <t>Blixt</t>
        </is>
      </c>
      <c r="V77" s="5" t="n"/>
      <c r="W77" s="5" t="n"/>
      <c r="X77" s="5" t="n"/>
      <c r="Y77" s="5" t="n"/>
      <c r="Z77" s="1164">
        <f>+Z66/Z69</f>
        <v/>
      </c>
      <c r="AA77" s="5" t="n"/>
      <c r="AB77" s="1164">
        <f>+AB66/AB69</f>
        <v/>
      </c>
      <c r="AC77" s="5" t="n"/>
      <c r="AD77" s="1164">
        <f>+AD66/AD69</f>
        <v/>
      </c>
      <c r="AE77" s="5" t="n"/>
      <c r="AF77" s="1164">
        <f>+AF66/AF69</f>
        <v/>
      </c>
      <c r="AG77" s="5" t="n"/>
      <c r="AH77" s="1164">
        <f>+AH66/AH69</f>
        <v/>
      </c>
      <c r="AI77" s="5" t="n"/>
      <c r="AJ77" s="1165">
        <f>+AJ66/AJ69</f>
        <v/>
      </c>
    </row>
    <row r="78" ht="15" customFormat="1" customHeight="1" s="558">
      <c r="A78" s="307" t="inlineStr">
        <is>
          <t>x</t>
        </is>
      </c>
      <c r="B78" s="555">
        <f>"Sources and Uses ("&amp;L14&amp;")"</f>
        <v/>
      </c>
      <c r="C78" s="555" t="n"/>
      <c r="D78" s="555" t="n"/>
      <c r="E78" s="556" t="n"/>
      <c r="F78" s="556" t="n"/>
      <c r="G78" s="556" t="n"/>
      <c r="H78" s="556" t="n"/>
      <c r="I78" s="556" t="n"/>
      <c r="J78" s="556" t="n"/>
      <c r="K78" s="556" t="n"/>
      <c r="L78" s="556" t="n"/>
      <c r="M78" s="556" t="n"/>
      <c r="N78" s="556" t="n"/>
      <c r="O78" s="556" t="n"/>
      <c r="P78" s="1166" t="n"/>
      <c r="Q78" s="1166" t="n"/>
      <c r="R78" s="556" t="n"/>
      <c r="S78" s="1167" t="n"/>
      <c r="T78" s="1167" t="n"/>
      <c r="U78" s="308" t="n"/>
      <c r="V78" s="442" t="n"/>
      <c r="W78" s="442" t="n"/>
      <c r="X78" s="442" t="n"/>
      <c r="Y78" s="442" t="n"/>
      <c r="Z78" s="1168">
        <f>SUM(Z74:Z77)</f>
        <v/>
      </c>
      <c r="AA78" s="1169" t="n"/>
      <c r="AB78" s="1168">
        <f>SUM(AB74:AB77)</f>
        <v/>
      </c>
      <c r="AC78" s="1170" t="n"/>
      <c r="AD78" s="1168">
        <f>SUM(AD74:AD77)</f>
        <v/>
      </c>
      <c r="AE78" s="1170" t="n"/>
      <c r="AF78" s="1168">
        <f>SUM(AF74:AF77)</f>
        <v/>
      </c>
      <c r="AG78" s="1170" t="n"/>
      <c r="AH78" s="1168">
        <f>SUM(AH74:AH77)</f>
        <v/>
      </c>
      <c r="AI78" s="1170" t="n"/>
      <c r="AJ78" s="1168">
        <f>SUM(AJ74:AJ77)</f>
        <v/>
      </c>
    </row>
    <row r="79" ht="15" customHeight="1">
      <c r="A79" s="307" t="n"/>
      <c r="F79" s="380">
        <f>"x "&amp;YEAR(I157)&amp; "E"</f>
        <v/>
      </c>
      <c r="M79" s="380">
        <f>"x "&amp;YEAR(I157)&amp; "E"</f>
        <v/>
      </c>
      <c r="R79" s="1150" t="n"/>
      <c r="S79" s="1150" t="n"/>
      <c r="T79" s="1150" t="n"/>
      <c r="U79" s="2" t="n"/>
      <c r="V79" s="1150" t="n"/>
      <c r="W79" s="1150" t="n"/>
      <c r="X79" s="1150" t="n"/>
      <c r="Y79" s="1150" t="n"/>
      <c r="Z79" s="1150" t="n"/>
      <c r="AA79" s="1150" t="n"/>
      <c r="AB79" s="1150" t="n"/>
      <c r="AC79" s="1150" t="n"/>
      <c r="AD79" s="1150" t="n"/>
      <c r="AE79" s="1150" t="n"/>
      <c r="AF79" s="1150" t="n"/>
      <c r="AG79" s="1150" t="n"/>
      <c r="AH79" s="1150" t="n"/>
      <c r="AI79" s="1150" t="n"/>
    </row>
    <row r="80" ht="15" customHeight="1">
      <c r="A80" s="307" t="n"/>
      <c r="B80" s="18" t="inlineStr">
        <is>
          <t>Sources</t>
        </is>
      </c>
      <c r="D80" s="18" t="n"/>
      <c r="E80" s="18" t="n"/>
      <c r="F80" s="381" t="inlineStr">
        <is>
          <t>EBITDA</t>
        </is>
      </c>
      <c r="G80" s="19" t="inlineStr">
        <is>
          <t>%</t>
        </is>
      </c>
      <c r="I80" s="18" t="inlineStr">
        <is>
          <t>Uses</t>
        </is>
      </c>
      <c r="J80" s="18" t="n"/>
      <c r="K80" s="18" t="n"/>
      <c r="L80" s="18" t="n"/>
      <c r="M80" s="381" t="inlineStr">
        <is>
          <t>EBITDA</t>
        </is>
      </c>
      <c r="N80" s="19" t="inlineStr">
        <is>
          <t>%</t>
        </is>
      </c>
      <c r="Q80" s="1069" t="n"/>
      <c r="R80" s="22" t="n"/>
      <c r="T80" s="1150" t="n"/>
      <c r="U80" s="2" t="n"/>
      <c r="V80" s="1150" t="n"/>
      <c r="W80" s="1150" t="n"/>
      <c r="X80" s="1150" t="n"/>
      <c r="Y80" s="1150" t="n"/>
      <c r="Z80" s="1150" t="n"/>
      <c r="AA80" s="1150" t="n"/>
      <c r="AB80" s="1150" t="n"/>
      <c r="AC80" s="1150" t="n"/>
      <c r="AD80" s="1150" t="n"/>
      <c r="AE80" s="1150" t="n"/>
      <c r="AF80" s="1150" t="n"/>
      <c r="AG80" s="1150" t="n"/>
      <c r="AH80" s="1150" t="n"/>
      <c r="AI80" s="1150" t="n"/>
    </row>
    <row r="81" ht="15" customHeight="1">
      <c r="A81" s="307" t="n"/>
      <c r="B81" s="21" t="inlineStr">
        <is>
          <t>Debt</t>
        </is>
      </c>
      <c r="C81" s="308" t="n"/>
      <c r="D81" s="21" t="n"/>
      <c r="E81" s="1171">
        <f>+E15+E16</f>
        <v/>
      </c>
      <c r="F81" s="1172">
        <f>+E81/$K$40</f>
        <v/>
      </c>
      <c r="G81" s="367">
        <f>E81/$E$105</f>
        <v/>
      </c>
      <c r="I81" s="24" t="inlineStr">
        <is>
          <t>Day 1</t>
        </is>
      </c>
      <c r="L81" s="1078">
        <f>+L83-L82</f>
        <v/>
      </c>
      <c r="M81" s="1172">
        <f>+L81/$K$40</f>
        <v/>
      </c>
      <c r="N81" s="367">
        <f>L81/$L$105</f>
        <v/>
      </c>
      <c r="Q81" s="1069" t="n"/>
      <c r="R81" s="22" t="n"/>
      <c r="T81" s="1150" t="n"/>
      <c r="U81" s="1150" t="n"/>
      <c r="V81" s="1150" t="n"/>
      <c r="W81" s="1150" t="n"/>
      <c r="X81" s="1150" t="n"/>
      <c r="Y81" s="1150" t="n"/>
      <c r="Z81" s="1150" t="n"/>
      <c r="AA81" s="1150" t="n"/>
      <c r="AB81" s="1150" t="n"/>
      <c r="AC81" s="1150" t="n"/>
      <c r="AD81" s="1150" t="n"/>
      <c r="AE81" s="1150" t="n"/>
      <c r="AF81" s="1150" t="n"/>
      <c r="AG81" s="1150" t="n"/>
      <c r="AH81" s="1150" t="n"/>
      <c r="AI81" s="1150" t="n"/>
    </row>
    <row r="82" ht="15" customHeight="1">
      <c r="A82" s="307" t="n"/>
      <c r="B82" s="21" t="inlineStr">
        <is>
          <t>Vendor loan</t>
        </is>
      </c>
      <c r="D82" s="21" t="n"/>
      <c r="E82" s="1173">
        <f>+M69</f>
        <v/>
      </c>
      <c r="F82" s="1172">
        <f>+E82/$K$40</f>
        <v/>
      </c>
      <c r="G82" s="367">
        <f>E82/$E$105</f>
        <v/>
      </c>
      <c r="I82" s="24" t="inlineStr">
        <is>
          <t>Earn-out</t>
        </is>
      </c>
      <c r="L82" s="1078">
        <f>+K43</f>
        <v/>
      </c>
      <c r="M82" s="1172">
        <f>+L82/$K$40</f>
        <v/>
      </c>
      <c r="N82" s="367">
        <f>L82/$L$105</f>
        <v/>
      </c>
      <c r="Q82" s="1069" t="n"/>
      <c r="T82" s="1150" t="n"/>
      <c r="U82" s="1150" t="n"/>
      <c r="V82" s="1150" t="n"/>
      <c r="W82" s="1150" t="n"/>
      <c r="X82" s="1150" t="n"/>
      <c r="Y82" s="1150" t="n"/>
      <c r="Z82" s="1150" t="n"/>
      <c r="AA82" s="1150" t="n"/>
      <c r="AB82" s="1150" t="n"/>
      <c r="AC82" s="1150" t="n"/>
      <c r="AD82" s="1150" t="n"/>
      <c r="AE82" s="1150" t="n"/>
      <c r="AF82" s="1150" t="n"/>
      <c r="AG82" s="1150" t="n"/>
      <c r="AH82" s="1150" t="n"/>
      <c r="AI82" s="1150" t="n"/>
    </row>
    <row r="83" ht="15" customHeight="1">
      <c r="A83" s="307" t="n"/>
      <c r="B83" s="2" t="inlineStr">
        <is>
          <t>Blixt loan note / prior ranking</t>
        </is>
      </c>
      <c r="E83" s="1173">
        <f>+N66</f>
        <v/>
      </c>
      <c r="F83" s="1172">
        <f>+E83/$K$40</f>
        <v/>
      </c>
      <c r="G83" s="367">
        <f>E83/$E$105</f>
        <v/>
      </c>
      <c r="I83" s="2" t="inlineStr">
        <is>
          <t>Enterprise value</t>
        </is>
      </c>
      <c r="J83" s="2" t="n"/>
      <c r="K83" s="2" t="n"/>
      <c r="L83" s="1173">
        <f>+S37</f>
        <v/>
      </c>
      <c r="M83" s="1172">
        <f>+L83/$K$40</f>
        <v/>
      </c>
      <c r="N83" s="367">
        <f>L83/$L$105</f>
        <v/>
      </c>
      <c r="S83" s="1150" t="n"/>
      <c r="T83" s="1150" t="n"/>
      <c r="U83" s="1150" t="n"/>
      <c r="V83" s="1150" t="n"/>
      <c r="W83" s="1150" t="n"/>
      <c r="X83" s="1150" t="n"/>
      <c r="Y83" s="1150" t="n"/>
      <c r="Z83" s="1150" t="n"/>
      <c r="AA83" s="1150" t="n"/>
      <c r="AB83" s="1150" t="n"/>
      <c r="AC83" s="1150" t="n"/>
      <c r="AD83" s="1150" t="n"/>
      <c r="AE83" s="1150" t="n"/>
      <c r="AF83" s="1150" t="n"/>
      <c r="AG83" s="1150" t="n"/>
      <c r="AH83" s="1150" t="n"/>
      <c r="AI83" s="1150" t="n"/>
    </row>
    <row r="84" ht="15" customHeight="1">
      <c r="A84" s="307" t="n"/>
      <c r="F84" s="1090" t="n"/>
      <c r="S84" s="1150" t="n"/>
      <c r="T84" s="1150" t="n"/>
      <c r="U84" s="1150" t="n"/>
      <c r="V84" s="1150" t="n"/>
      <c r="W84" s="1150" t="n"/>
      <c r="X84" s="1150" t="n"/>
      <c r="Y84" s="1150" t="n"/>
      <c r="Z84" s="1150" t="n"/>
      <c r="AA84" s="1150" t="n"/>
      <c r="AB84" s="1150" t="n"/>
      <c r="AC84" s="1150" t="n"/>
      <c r="AD84" s="1150" t="n"/>
      <c r="AE84" s="1150" t="n"/>
      <c r="AF84" s="1150" t="n"/>
      <c r="AG84" s="1150" t="n"/>
      <c r="AH84" s="1150" t="n"/>
      <c r="AI84" s="1150" t="n"/>
    </row>
    <row r="85" ht="15" customHeight="1">
      <c r="A85" s="307" t="n"/>
      <c r="B85" s="24" t="inlineStr">
        <is>
          <t>Blixt</t>
        </is>
      </c>
      <c r="D85" s="367">
        <f>+E85/$E$89</f>
        <v/>
      </c>
      <c r="E85" s="1062">
        <f>+P66</f>
        <v/>
      </c>
      <c r="F85" s="1172">
        <f>+E85/$K$40</f>
        <v/>
      </c>
      <c r="G85" s="367">
        <f>E85/$E$105</f>
        <v/>
      </c>
      <c r="I85" s="2" t="inlineStr">
        <is>
          <t>Fees</t>
        </is>
      </c>
      <c r="J85" s="2" t="n"/>
      <c r="K85" s="2" t="n"/>
      <c r="L85" s="1173">
        <f>+S45</f>
        <v/>
      </c>
      <c r="M85" s="1172">
        <f>+L85/$K$40</f>
        <v/>
      </c>
      <c r="N85" s="367">
        <f>L85/$L$105</f>
        <v/>
      </c>
      <c r="S85" s="1150" t="n"/>
      <c r="T85" s="1150" t="n"/>
      <c r="U85" s="1150" t="n"/>
      <c r="V85" s="1150" t="n"/>
      <c r="W85" s="1150" t="n"/>
      <c r="X85" s="1150" t="n"/>
      <c r="Y85" s="1150" t="n"/>
      <c r="Z85" s="1150" t="n"/>
      <c r="AA85" s="1150" t="n"/>
      <c r="AB85" s="1150" t="n"/>
      <c r="AC85" s="1150" t="n"/>
      <c r="AD85" s="1150" t="n"/>
      <c r="AE85" s="1150" t="n"/>
      <c r="AF85" s="1150" t="n"/>
      <c r="AG85" s="1150" t="n"/>
      <c r="AH85" s="1150" t="n"/>
      <c r="AI85" s="1150" t="n"/>
    </row>
    <row r="86" ht="15" customHeight="1">
      <c r="A86" s="307" t="n"/>
      <c r="B86" s="24" t="inlineStr">
        <is>
          <t>Vendor</t>
        </is>
      </c>
      <c r="D86" s="367">
        <f>+E86/$E$89</f>
        <v/>
      </c>
      <c r="E86" s="1062">
        <f>+P60</f>
        <v/>
      </c>
      <c r="F86" s="1172">
        <f>+E86/$K$40</f>
        <v/>
      </c>
      <c r="G86" s="367">
        <f>E86/$E$105</f>
        <v/>
      </c>
      <c r="S86" s="1150" t="n"/>
      <c r="T86" s="1150" t="n"/>
      <c r="U86" s="1150" t="n"/>
      <c r="V86" s="1150" t="n"/>
      <c r="W86" s="1150" t="n"/>
      <c r="X86" s="1150" t="n"/>
      <c r="Y86" s="1150" t="n"/>
      <c r="Z86" s="1150" t="n"/>
      <c r="AA86" s="1150" t="n"/>
      <c r="AB86" s="1150" t="n"/>
      <c r="AC86" s="1150" t="n"/>
      <c r="AD86" s="1150" t="n"/>
      <c r="AE86" s="1150" t="n"/>
      <c r="AF86" s="1150" t="n"/>
      <c r="AG86" s="1150" t="n"/>
      <c r="AH86" s="1150" t="n"/>
      <c r="AI86" s="1150" t="n"/>
    </row>
    <row r="87" ht="15" customHeight="1">
      <c r="A87" s="307" t="n"/>
      <c r="B87" s="24" t="inlineStr">
        <is>
          <t>Management</t>
        </is>
      </c>
      <c r="D87" s="367">
        <f>+E87/$E$89</f>
        <v/>
      </c>
      <c r="E87" s="1062">
        <f>+P63+P64+P65</f>
        <v/>
      </c>
      <c r="F87" s="1172">
        <f>+E87/$K$40</f>
        <v/>
      </c>
      <c r="G87" s="367">
        <f>E87/$E$105</f>
        <v/>
      </c>
      <c r="I87" s="2" t="inlineStr">
        <is>
          <t>Day 1 cash on balance sheet</t>
        </is>
      </c>
      <c r="J87" s="2" t="n"/>
      <c r="K87" s="2" t="n"/>
      <c r="L87" s="1173">
        <f>S39+S38</f>
        <v/>
      </c>
      <c r="M87" s="1172">
        <f>+L87/$K$40</f>
        <v/>
      </c>
      <c r="N87" s="367">
        <f>L87/$L$105</f>
        <v/>
      </c>
      <c r="S87" s="1150" t="n"/>
      <c r="T87" s="1150" t="n"/>
      <c r="U87" s="1150" t="n"/>
      <c r="V87" s="1150" t="n"/>
      <c r="W87" s="1150" t="n"/>
      <c r="X87" s="1150" t="n"/>
      <c r="Y87" s="1150" t="n"/>
      <c r="Z87" s="1150" t="n"/>
      <c r="AA87" s="1150" t="n"/>
      <c r="AB87" s="1150" t="n"/>
      <c r="AC87" s="1150" t="n"/>
      <c r="AD87" s="1150" t="n"/>
      <c r="AE87" s="1150" t="n"/>
      <c r="AF87" s="1150" t="n"/>
      <c r="AG87" s="1150" t="n"/>
      <c r="AH87" s="1150" t="n"/>
      <c r="AI87" s="1150" t="n"/>
    </row>
    <row r="88" ht="15" customHeight="1">
      <c r="A88" s="307" t="n"/>
      <c r="B88" s="24" t="inlineStr">
        <is>
          <t>Sweet</t>
        </is>
      </c>
      <c r="D88" s="367">
        <f>+E88/$E$89</f>
        <v/>
      </c>
      <c r="E88" s="1062">
        <f>+P67</f>
        <v/>
      </c>
      <c r="F88" s="1172">
        <f>+E88/$K$40</f>
        <v/>
      </c>
      <c r="G88" s="367">
        <f>E88/$E$105</f>
        <v/>
      </c>
      <c r="I88" s="2" t="n"/>
      <c r="J88" s="2" t="n"/>
      <c r="K88" s="2" t="n"/>
      <c r="L88" s="1173" t="n"/>
      <c r="M88" s="1172" t="n"/>
      <c r="N88" s="367" t="n"/>
      <c r="S88" s="1150" t="n"/>
      <c r="T88" s="1150" t="n"/>
      <c r="U88" s="1150" t="n"/>
      <c r="V88" s="1150" t="n"/>
      <c r="W88" s="1150" t="n"/>
      <c r="X88" s="1150" t="n"/>
      <c r="Y88" s="1150" t="n"/>
      <c r="Z88" s="1150" t="n"/>
      <c r="AA88" s="1150" t="n"/>
      <c r="AB88" s="1150" t="n"/>
      <c r="AC88" s="1150" t="n"/>
      <c r="AD88" s="1150" t="n"/>
      <c r="AE88" s="1150" t="n"/>
      <c r="AF88" s="1150" t="n"/>
      <c r="AG88" s="1150" t="n"/>
      <c r="AH88" s="1150" t="n"/>
      <c r="AI88" s="1150" t="n"/>
    </row>
    <row r="89" ht="15" customHeight="1">
      <c r="B89" s="536" t="inlineStr">
        <is>
          <t>Preferred equity</t>
        </is>
      </c>
      <c r="D89" s="2" t="n"/>
      <c r="E89" s="1173">
        <f>SUM(E85:E88)</f>
        <v/>
      </c>
      <c r="F89" s="1172">
        <f>+E89/$K$40</f>
        <v/>
      </c>
      <c r="G89" s="367">
        <f>E89/$E$105</f>
        <v/>
      </c>
      <c r="S89" s="1150" t="n"/>
      <c r="T89" s="1150" t="n"/>
      <c r="U89" s="1150" t="n"/>
      <c r="V89" s="1150" t="n"/>
      <c r="W89" s="1150" t="n"/>
      <c r="X89" s="1150" t="n"/>
      <c r="Y89" s="1150" t="n"/>
      <c r="Z89" s="1150" t="n"/>
      <c r="AA89" s="1150" t="n"/>
      <c r="AB89" s="1150" t="n"/>
      <c r="AC89" s="1150" t="n"/>
      <c r="AD89" s="1150" t="n"/>
      <c r="AE89" s="1150" t="n"/>
      <c r="AF89" s="1150" t="n"/>
      <c r="AG89" s="1150" t="n"/>
      <c r="AH89" s="1150" t="n"/>
      <c r="AI89" s="1150" t="n"/>
    </row>
    <row r="90" ht="15" customHeight="1">
      <c r="A90" s="307" t="n"/>
      <c r="F90" s="1090" t="n"/>
      <c r="L90" s="1062" t="n"/>
      <c r="S90" s="1150" t="n"/>
      <c r="T90" s="1150" t="n"/>
      <c r="U90" s="1150" t="n"/>
      <c r="V90" s="1150" t="n"/>
      <c r="W90" s="1150" t="n"/>
      <c r="X90" s="1150" t="n"/>
      <c r="Y90" s="1150" t="n"/>
      <c r="Z90" s="1150" t="n"/>
      <c r="AA90" s="1150" t="n"/>
      <c r="AB90" s="1150" t="n"/>
      <c r="AC90" s="1150" t="n"/>
      <c r="AD90" s="1150" t="n"/>
      <c r="AE90" s="1150" t="n"/>
      <c r="AF90" s="1150" t="n"/>
      <c r="AG90" s="1150" t="n"/>
      <c r="AH90" s="1150" t="n"/>
      <c r="AI90" s="1150" t="n"/>
    </row>
    <row r="91" ht="15" customHeight="1">
      <c r="A91" s="307" t="n"/>
      <c r="B91" s="24" t="inlineStr">
        <is>
          <t>Blixt</t>
        </is>
      </c>
      <c r="D91" s="367">
        <f>+E91/$E$95</f>
        <v/>
      </c>
      <c r="E91" s="1062">
        <f>+Q66</f>
        <v/>
      </c>
      <c r="F91" s="1172">
        <f>+E91/$K$40</f>
        <v/>
      </c>
      <c r="G91" s="367">
        <f>E91/$E$105</f>
        <v/>
      </c>
      <c r="L91" s="1062" t="n"/>
      <c r="S91" s="1150" t="n"/>
      <c r="T91" s="1150" t="n"/>
      <c r="U91" s="1150" t="n"/>
      <c r="V91" s="1150" t="n"/>
      <c r="W91" s="1150" t="n"/>
      <c r="X91" s="1150" t="n"/>
      <c r="Y91" s="1150" t="n"/>
      <c r="Z91" s="1150" t="n"/>
      <c r="AA91" s="1150" t="n"/>
      <c r="AB91" s="1150" t="n"/>
      <c r="AC91" s="1150" t="n"/>
      <c r="AD91" s="1150" t="n"/>
      <c r="AE91" s="1150" t="n"/>
      <c r="AF91" s="1150" t="n"/>
      <c r="AG91" s="1150" t="n"/>
      <c r="AH91" s="1150" t="n"/>
      <c r="AI91" s="1150" t="n"/>
    </row>
    <row r="92" ht="15" customHeight="1">
      <c r="A92" s="307" t="n"/>
      <c r="B92" s="24" t="inlineStr">
        <is>
          <t>Vendor</t>
        </is>
      </c>
      <c r="D92" s="367">
        <f>+E92/$E$95</f>
        <v/>
      </c>
      <c r="E92" s="1062">
        <f>+Q60</f>
        <v/>
      </c>
      <c r="F92" s="1172">
        <f>+E92/$K$40</f>
        <v/>
      </c>
      <c r="G92" s="367">
        <f>E92/$E$105</f>
        <v/>
      </c>
      <c r="L92" s="1062" t="n"/>
      <c r="N92" s="1174" t="n"/>
      <c r="S92" s="1150" t="n"/>
      <c r="T92" s="1150" t="n"/>
      <c r="U92" s="1150" t="n"/>
      <c r="V92" s="1150" t="n"/>
      <c r="W92" s="1150" t="n"/>
      <c r="X92" s="1150" t="n"/>
      <c r="Y92" s="1150" t="n"/>
      <c r="Z92" s="1150" t="n"/>
      <c r="AA92" s="1150" t="n"/>
      <c r="AB92" s="1150" t="n"/>
      <c r="AC92" s="1150" t="n"/>
      <c r="AD92" s="1150" t="n"/>
      <c r="AE92" s="1150" t="n"/>
      <c r="AF92" s="1150" t="n"/>
      <c r="AG92" s="1150" t="n"/>
      <c r="AH92" s="1150" t="n"/>
      <c r="AI92" s="1150" t="n"/>
    </row>
    <row r="93" ht="15" customHeight="1">
      <c r="A93" s="307" t="n"/>
      <c r="B93" s="24" t="inlineStr">
        <is>
          <t>Management</t>
        </is>
      </c>
      <c r="D93" s="367">
        <f>+E93/$E$95</f>
        <v/>
      </c>
      <c r="E93" s="1062">
        <f>+Q63+Q64+Q65</f>
        <v/>
      </c>
      <c r="F93" s="1172">
        <f>+E93/$K$40</f>
        <v/>
      </c>
      <c r="G93" s="367">
        <f>E93/$E$105</f>
        <v/>
      </c>
      <c r="L93" s="1062" t="n"/>
      <c r="S93" s="1150" t="n"/>
      <c r="T93" s="1150" t="n"/>
      <c r="U93" s="1150" t="n"/>
      <c r="V93" s="1150" t="n"/>
      <c r="W93" s="1150" t="n"/>
      <c r="X93" s="1150" t="n"/>
      <c r="Y93" s="1150" t="n"/>
      <c r="Z93" s="1150" t="n"/>
      <c r="AA93" s="1150" t="n"/>
      <c r="AB93" s="1150" t="n"/>
      <c r="AC93" s="1150" t="n"/>
      <c r="AD93" s="1150" t="n"/>
      <c r="AE93" s="1150" t="n"/>
      <c r="AF93" s="1150" t="n"/>
      <c r="AG93" s="1150" t="n"/>
      <c r="AH93" s="1150" t="n"/>
      <c r="AI93" s="1150" t="n"/>
    </row>
    <row r="94" ht="15" customHeight="1">
      <c r="A94" s="307" t="n"/>
      <c r="B94" s="24" t="inlineStr">
        <is>
          <t>Sweet</t>
        </is>
      </c>
      <c r="D94" s="367">
        <f>+E94/$E$95</f>
        <v/>
      </c>
      <c r="E94" s="1062">
        <f>+Q67</f>
        <v/>
      </c>
      <c r="F94" s="1172">
        <f>+E94/$K$40</f>
        <v/>
      </c>
      <c r="G94" s="367">
        <f>E94/$E$105</f>
        <v/>
      </c>
      <c r="L94" s="1062" t="n"/>
      <c r="S94" s="1150" t="n"/>
      <c r="T94" s="1150" t="n"/>
      <c r="U94" s="1150" t="n"/>
      <c r="V94" s="1150" t="n"/>
      <c r="W94" s="1150" t="n"/>
      <c r="X94" s="1150" t="n"/>
      <c r="Y94" s="1150" t="n"/>
      <c r="Z94" s="1150" t="n"/>
      <c r="AA94" s="1150" t="n"/>
      <c r="AB94" s="1150" t="n"/>
      <c r="AC94" s="1150" t="n"/>
      <c r="AD94" s="1150" t="n"/>
      <c r="AE94" s="1150" t="n"/>
      <c r="AF94" s="1150" t="n"/>
      <c r="AG94" s="1150" t="n"/>
      <c r="AH94" s="1150" t="n"/>
      <c r="AI94" s="1150" t="n"/>
    </row>
    <row r="95" ht="15" customHeight="1">
      <c r="A95" s="307" t="n"/>
      <c r="B95" s="536" t="inlineStr">
        <is>
          <t>Ordinary equity</t>
        </is>
      </c>
      <c r="D95" s="2" t="n"/>
      <c r="E95" s="1173">
        <f>+E92+E93+E91+E94</f>
        <v/>
      </c>
      <c r="F95" s="1172">
        <f>+E95/$K$40</f>
        <v/>
      </c>
      <c r="G95" s="367">
        <f>E95/$E$105</f>
        <v/>
      </c>
      <c r="L95" s="1062" t="n"/>
      <c r="N95" s="1174" t="n"/>
      <c r="S95" s="1150" t="n"/>
      <c r="T95" s="1150" t="n"/>
      <c r="U95" s="1150" t="n"/>
      <c r="V95" s="1150" t="n"/>
      <c r="W95" s="1150" t="n"/>
      <c r="X95" s="1150" t="n"/>
      <c r="Y95" s="1150" t="n"/>
      <c r="Z95" s="1150" t="n"/>
      <c r="AA95" s="1150" t="n"/>
      <c r="AB95" s="1150" t="n"/>
      <c r="AC95" s="1150" t="n"/>
      <c r="AD95" s="1150" t="n"/>
      <c r="AE95" s="1150" t="n"/>
      <c r="AF95" s="1150" t="n"/>
      <c r="AG95" s="1150" t="n"/>
      <c r="AH95" s="1150" t="n"/>
      <c r="AI95" s="1150" t="n"/>
    </row>
    <row r="96" ht="15" customHeight="1">
      <c r="A96" s="307" t="n"/>
      <c r="B96" s="2" t="inlineStr">
        <is>
          <t>Total Equity</t>
        </is>
      </c>
      <c r="E96" s="1173">
        <f>+E95+E89</f>
        <v/>
      </c>
      <c r="F96" s="1172">
        <f>+E96/$K$40</f>
        <v/>
      </c>
      <c r="G96" s="367">
        <f>E96/$E$105</f>
        <v/>
      </c>
      <c r="L96" s="1062" t="n"/>
      <c r="S96" s="1150" t="n"/>
      <c r="T96" s="1150" t="n"/>
      <c r="U96" s="1150" t="n"/>
      <c r="V96" s="1150" t="n"/>
      <c r="W96" s="1150" t="n"/>
      <c r="X96" s="1150" t="n"/>
      <c r="Y96" s="1150" t="n"/>
      <c r="Z96" s="1150" t="n"/>
      <c r="AA96" s="1150" t="n"/>
      <c r="AB96" s="1150" t="n"/>
      <c r="AC96" s="1150" t="n"/>
      <c r="AD96" s="1150" t="n"/>
      <c r="AE96" s="1150" t="n"/>
      <c r="AF96" s="1150" t="n"/>
      <c r="AG96" s="1150" t="n"/>
      <c r="AH96" s="1150" t="n"/>
      <c r="AI96" s="1150" t="n"/>
    </row>
    <row r="97" ht="15" customHeight="1">
      <c r="A97" s="307" t="n"/>
      <c r="F97" s="1090" t="n"/>
      <c r="S97" s="1150" t="n"/>
      <c r="T97" s="1150" t="n"/>
      <c r="U97" s="1150" t="n"/>
      <c r="V97" s="1150" t="n"/>
      <c r="W97" s="1150" t="n"/>
      <c r="X97" s="1150" t="n"/>
      <c r="Y97" s="1150" t="n"/>
      <c r="Z97" s="1150" t="n"/>
      <c r="AA97" s="1150" t="n"/>
      <c r="AB97" s="1150" t="n"/>
      <c r="AC97" s="1150" t="n"/>
      <c r="AD97" s="1150" t="n"/>
      <c r="AE97" s="1150" t="n"/>
      <c r="AF97" s="1150" t="n"/>
      <c r="AG97" s="1150" t="n"/>
      <c r="AH97" s="1150" t="n"/>
      <c r="AI97" s="1150" t="n"/>
    </row>
    <row r="98" ht="15" customHeight="1">
      <c r="A98" s="307" t="n"/>
      <c r="B98" s="2" t="inlineStr">
        <is>
          <t>Earn-out (unfunded day 1)</t>
        </is>
      </c>
      <c r="D98" s="2" t="n"/>
      <c r="E98" s="1173">
        <f>+K43</f>
        <v/>
      </c>
      <c r="F98" s="1172">
        <f>+E98/$K$40</f>
        <v/>
      </c>
      <c r="G98" s="367">
        <f>E98/$E$105</f>
        <v/>
      </c>
      <c r="L98" s="1062" t="n"/>
      <c r="S98" s="1150" t="n"/>
      <c r="T98" s="1150" t="n"/>
      <c r="U98" s="1150" t="n"/>
      <c r="V98" s="1150" t="n"/>
      <c r="W98" s="1150" t="n"/>
      <c r="X98" s="1150" t="n"/>
      <c r="Y98" s="1150" t="n"/>
      <c r="Z98" s="1150" t="n"/>
      <c r="AA98" s="1150" t="n"/>
      <c r="AB98" s="1150" t="n"/>
      <c r="AC98" s="1150" t="n"/>
      <c r="AD98" s="1150" t="n"/>
      <c r="AE98" s="1150" t="n"/>
      <c r="AF98" s="1150" t="n"/>
      <c r="AG98" s="1150" t="n"/>
      <c r="AH98" s="1150" t="n"/>
      <c r="AI98" s="1150" t="n"/>
    </row>
    <row r="99" ht="15" customHeight="1">
      <c r="A99" s="307" t="n"/>
      <c r="L99" s="1062" t="n"/>
      <c r="Y99" s="1150" t="n"/>
      <c r="Z99" s="1150" t="n"/>
      <c r="AA99" s="1150" t="n"/>
      <c r="AB99" s="1150" t="n"/>
      <c r="AC99" s="1150" t="n"/>
      <c r="AD99" s="1150" t="n"/>
      <c r="AE99" s="1150" t="n"/>
      <c r="AF99" s="1150" t="n"/>
      <c r="AG99" s="1150" t="n"/>
      <c r="AH99" s="1150" t="n"/>
      <c r="AI99" s="1150" t="n"/>
    </row>
    <row r="100" outlineLevel="1" ht="15" customHeight="1">
      <c r="A100" s="307" t="n"/>
      <c r="B100" s="72" t="inlineStr">
        <is>
          <t>Total Vendor Equity</t>
        </is>
      </c>
      <c r="E100" s="1062">
        <f>+E92+E86</f>
        <v/>
      </c>
      <c r="H100" s="21" t="n"/>
      <c r="I100" s="21" t="n"/>
      <c r="J100" s="21" t="n"/>
      <c r="K100" s="21" t="n"/>
      <c r="L100" s="1171" t="n"/>
      <c r="R100" s="1150" t="n"/>
      <c r="S100" s="1150" t="n"/>
      <c r="T100" s="1150" t="n"/>
      <c r="U100" s="1150" t="n"/>
      <c r="V100" s="1150" t="n"/>
      <c r="W100" s="1150" t="n"/>
      <c r="X100" s="1150" t="n"/>
      <c r="Y100" s="1150" t="n"/>
      <c r="Z100" s="1150" t="n"/>
      <c r="AA100" s="1150" t="n"/>
      <c r="AB100" s="1150" t="n"/>
      <c r="AC100" s="1150" t="n"/>
      <c r="AD100" s="1150" t="n"/>
      <c r="AE100" s="1150" t="n"/>
      <c r="AF100" s="1150" t="n"/>
      <c r="AG100" s="1150" t="n"/>
      <c r="AH100" s="1150" t="n"/>
      <c r="AI100" s="1150" t="n"/>
    </row>
    <row r="101" outlineLevel="1" ht="15" customHeight="1">
      <c r="A101" s="307" t="n"/>
      <c r="B101" s="72" t="inlineStr">
        <is>
          <t>Total Management Equity</t>
        </is>
      </c>
      <c r="E101" s="1062">
        <f>+E93+E87+E94+E88</f>
        <v/>
      </c>
      <c r="H101" s="21" t="n"/>
      <c r="I101" s="21" t="n"/>
      <c r="J101" s="21" t="n"/>
      <c r="K101" s="21" t="n"/>
      <c r="L101" s="1171" t="n"/>
      <c r="R101" s="1150" t="n"/>
      <c r="S101" s="1150" t="n"/>
      <c r="T101" s="1150" t="n"/>
      <c r="U101" s="1150" t="n"/>
      <c r="V101" s="1150" t="n"/>
      <c r="W101" s="1150" t="n"/>
      <c r="X101" s="1150" t="n"/>
      <c r="Y101" s="1150" t="n"/>
      <c r="Z101" s="1150" t="n"/>
      <c r="AA101" s="1150" t="n"/>
      <c r="AB101" s="1150" t="n"/>
      <c r="AC101" s="1150" t="n"/>
      <c r="AD101" s="1150" t="n"/>
      <c r="AE101" s="1150" t="n"/>
      <c r="AF101" s="1150" t="n"/>
      <c r="AG101" s="1150" t="n"/>
      <c r="AH101" s="1150" t="n"/>
      <c r="AI101" s="1150" t="n"/>
    </row>
    <row r="102" outlineLevel="1" ht="15" customHeight="1">
      <c r="A102" s="307" t="n"/>
      <c r="B102" s="72" t="inlineStr">
        <is>
          <t>Total Blixt Equity</t>
        </is>
      </c>
      <c r="E102" s="1062">
        <f>+E91+E85</f>
        <v/>
      </c>
      <c r="H102" s="21" t="n"/>
      <c r="I102" s="21" t="n"/>
      <c r="J102" s="21" t="n"/>
      <c r="K102" s="21" t="n"/>
      <c r="L102" s="1171" t="n"/>
      <c r="R102" s="1150" t="n"/>
      <c r="S102" s="1150" t="n"/>
      <c r="T102" s="1150" t="n"/>
      <c r="U102" s="1150" t="n"/>
      <c r="V102" s="1150" t="n"/>
      <c r="W102" s="1150" t="n"/>
      <c r="X102" s="1150" t="n"/>
      <c r="Y102" s="1150" t="n"/>
      <c r="Z102" s="1150" t="n"/>
      <c r="AA102" s="1150" t="n"/>
      <c r="AB102" s="1150" t="n"/>
      <c r="AC102" s="1150" t="n"/>
      <c r="AD102" s="1150" t="n"/>
      <c r="AE102" s="1150" t="n"/>
      <c r="AF102" s="1150" t="n"/>
      <c r="AG102" s="1150" t="n"/>
      <c r="AH102" s="1150" t="n"/>
      <c r="AI102" s="1150" t="n"/>
    </row>
    <row r="103" outlineLevel="1" ht="15" customHeight="1">
      <c r="A103" s="307" t="n"/>
      <c r="B103" s="541" t="inlineStr">
        <is>
          <t>Total equity</t>
        </is>
      </c>
      <c r="C103" s="308" t="n"/>
      <c r="D103" s="308" t="n"/>
      <c r="E103" s="1175">
        <f>SUM(E100:E102)</f>
        <v/>
      </c>
      <c r="H103" s="21" t="n"/>
      <c r="I103" s="21" t="n"/>
      <c r="J103" s="21" t="n"/>
      <c r="K103" s="21" t="n"/>
      <c r="L103" s="1171" t="n"/>
      <c r="R103" s="1150" t="n"/>
      <c r="S103" s="1150" t="n"/>
      <c r="T103" s="1150" t="n"/>
      <c r="U103" s="1150" t="n"/>
      <c r="V103" s="1150" t="n"/>
      <c r="W103" s="1150" t="n"/>
      <c r="X103" s="1150" t="n"/>
      <c r="Y103" s="1150" t="n"/>
      <c r="Z103" s="1150" t="n"/>
      <c r="AA103" s="1150" t="n"/>
      <c r="AB103" s="1150" t="n"/>
      <c r="AC103" s="1150" t="n"/>
      <c r="AD103" s="1150" t="n"/>
      <c r="AE103" s="1150" t="n"/>
      <c r="AF103" s="1150" t="n"/>
      <c r="AG103" s="1150" t="n"/>
      <c r="AH103" s="1150" t="n"/>
      <c r="AI103" s="1150" t="n"/>
    </row>
    <row r="104" outlineLevel="1" ht="15" customHeight="1">
      <c r="A104" s="307" t="n"/>
      <c r="B104" s="72" t="n"/>
      <c r="D104" s="1062" t="n"/>
      <c r="H104" s="21" t="n"/>
      <c r="I104" s="21" t="n"/>
      <c r="J104" s="21" t="n"/>
      <c r="K104" s="21" t="n"/>
      <c r="L104" s="1171" t="n"/>
      <c r="R104" s="1150" t="n"/>
      <c r="S104" s="1150" t="n"/>
      <c r="T104" s="1150" t="n"/>
      <c r="U104" s="1150" t="n"/>
      <c r="V104" s="1150" t="n"/>
      <c r="W104" s="1150" t="n"/>
      <c r="X104" s="1150" t="n"/>
      <c r="Y104" s="1150" t="n"/>
      <c r="Z104" s="1150" t="n"/>
      <c r="AA104" s="1150" t="n"/>
      <c r="AB104" s="1150" t="n"/>
      <c r="AC104" s="1150" t="n"/>
      <c r="AD104" s="1150" t="n"/>
      <c r="AE104" s="1150" t="n"/>
      <c r="AF104" s="1150" t="n"/>
      <c r="AG104" s="1150" t="n"/>
      <c r="AH104" s="1150" t="n"/>
      <c r="AI104" s="1150" t="n"/>
    </row>
    <row r="105" ht="15" customHeight="1">
      <c r="A105" s="307" t="n"/>
      <c r="B105" s="116" t="inlineStr">
        <is>
          <t>Total Sources</t>
        </is>
      </c>
      <c r="C105" s="116" t="n"/>
      <c r="D105" s="116" t="n"/>
      <c r="E105" s="1176">
        <f>+E81+E98+E82+E96+E83</f>
        <v/>
      </c>
      <c r="F105" s="117" t="n"/>
      <c r="G105" s="117" t="n"/>
      <c r="I105" s="116" t="inlineStr">
        <is>
          <t>Total Uses</t>
        </is>
      </c>
      <c r="J105" s="116" t="n"/>
      <c r="K105" s="116" t="n"/>
      <c r="L105" s="1176">
        <f>+L83+L85+L87</f>
        <v/>
      </c>
      <c r="M105" s="116" t="n"/>
      <c r="N105" s="116" t="n"/>
      <c r="R105" s="1150" t="n"/>
      <c r="S105" s="1150" t="n"/>
      <c r="T105" s="1150" t="n"/>
      <c r="U105" s="1150" t="n"/>
      <c r="V105" s="1150" t="n"/>
      <c r="W105" s="1150" t="n"/>
      <c r="X105" s="1150" t="n"/>
      <c r="Y105" s="1150" t="n"/>
      <c r="Z105" s="1150" t="n"/>
      <c r="AA105" s="1150" t="n"/>
      <c r="AB105" s="1150" t="n"/>
      <c r="AC105" s="1150" t="n"/>
      <c r="AD105" s="1150" t="n"/>
      <c r="AE105" s="1150" t="n"/>
      <c r="AF105" s="1150" t="n"/>
      <c r="AG105" s="1150" t="n"/>
      <c r="AH105" s="1150" t="n"/>
      <c r="AI105" s="1150" t="n"/>
    </row>
    <row r="106" ht="15" customFormat="1" customHeight="1" s="30">
      <c r="A106" s="606" t="n"/>
      <c r="B106" s="30" t="inlineStr">
        <is>
          <t>check</t>
        </is>
      </c>
      <c r="C106" s="1136">
        <f>COUNTIF(E106:F106,"&lt;&gt;0")+COUNTIF(L106,"&lt;&gt;0")</f>
        <v/>
      </c>
      <c r="D106" s="1177" t="n"/>
      <c r="E106" s="1136">
        <f>+ROUND(E105-L105,1)</f>
        <v/>
      </c>
      <c r="F106" s="1136">
        <f>+ROUND(+E103-Q69-P69,1)</f>
        <v/>
      </c>
      <c r="G106" s="1136" t="n"/>
      <c r="H106" s="1136" t="n"/>
      <c r="I106" s="1136" t="n"/>
      <c r="J106" s="1136" t="n"/>
      <c r="K106" s="1136" t="n"/>
      <c r="L106" s="1136">
        <f>ROUND(+E82+E83+E89+E95-R69-N69,1)</f>
        <v/>
      </c>
      <c r="R106" s="1178" t="n"/>
      <c r="S106" s="1178" t="n"/>
      <c r="T106" s="1178" t="n"/>
      <c r="U106" s="1178" t="n"/>
      <c r="V106" s="1178" t="n"/>
      <c r="W106" s="1178" t="n"/>
      <c r="X106" s="1178" t="n"/>
      <c r="Y106" s="1178" t="n"/>
      <c r="Z106" s="1178" t="n"/>
      <c r="AA106" s="1178" t="n"/>
      <c r="AB106" s="1178" t="n"/>
      <c r="AC106" s="1178" t="n"/>
      <c r="AD106" s="1178" t="n"/>
      <c r="AE106" s="1178" t="n"/>
      <c r="AF106" s="1178" t="n"/>
      <c r="AG106" s="1178" t="n"/>
      <c r="AH106" s="1178" t="n"/>
      <c r="AI106" s="1178" t="n"/>
    </row>
    <row r="107" ht="15" customFormat="1" customHeight="1" s="30">
      <c r="A107" s="606" t="n"/>
      <c r="B107" s="30" t="inlineStr">
        <is>
          <t>check</t>
        </is>
      </c>
      <c r="C107" s="1136">
        <f>IF(MIN(I54:J56,P54:Q56,L66:L67,P66:Q67)&lt;0,1,0)</f>
        <v/>
      </c>
      <c r="D107" s="1177" t="n"/>
      <c r="E107" s="1136" t="n"/>
      <c r="F107" s="1136" t="n"/>
      <c r="G107" s="1136" t="n"/>
      <c r="H107" s="1136" t="n"/>
      <c r="I107" s="1136" t="n"/>
      <c r="J107" s="1136" t="n"/>
      <c r="K107" s="1136" t="n"/>
      <c r="L107" s="1136" t="n"/>
      <c r="R107" s="1178" t="n"/>
      <c r="S107" s="1178" t="n"/>
      <c r="T107" s="1178" t="n"/>
      <c r="U107" s="1178" t="n"/>
      <c r="V107" s="1178" t="n"/>
      <c r="W107" s="1178" t="n"/>
      <c r="X107" s="1178" t="n"/>
      <c r="Y107" s="1178" t="n"/>
      <c r="Z107" s="1178" t="n"/>
      <c r="AA107" s="1178" t="n"/>
      <c r="AB107" s="1178" t="n"/>
      <c r="AC107" s="1178" t="n"/>
      <c r="AD107" s="1178" t="n"/>
      <c r="AE107" s="1178" t="n"/>
      <c r="AF107" s="1178" t="n"/>
      <c r="AG107" s="1178" t="n"/>
      <c r="AH107" s="1178" t="n"/>
      <c r="AI107" s="1178" t="n"/>
    </row>
    <row r="108" ht="15" customHeight="1">
      <c r="A108" s="307" t="n"/>
      <c r="D108" s="1179" t="n"/>
      <c r="P108" s="30" t="n"/>
      <c r="R108" s="1150" t="n"/>
      <c r="S108" s="1150" t="n"/>
      <c r="T108" s="1150" t="n"/>
      <c r="U108" s="1150" t="n"/>
      <c r="V108" s="1150" t="n"/>
      <c r="W108" s="1150" t="n"/>
      <c r="X108" s="1150" t="n"/>
      <c r="Y108" s="1150" t="n"/>
      <c r="Z108" s="1150" t="n"/>
      <c r="AA108" s="1150" t="n"/>
      <c r="AB108" s="1150" t="n"/>
      <c r="AC108" s="1150" t="n"/>
      <c r="AD108" s="1150" t="n"/>
      <c r="AE108" s="1150" t="n"/>
      <c r="AF108" s="1150" t="n"/>
      <c r="AG108" s="1150" t="n"/>
      <c r="AH108" s="1150" t="n"/>
      <c r="AI108" s="1150" t="n"/>
    </row>
    <row r="109" ht="15" customHeight="1">
      <c r="A109" s="307" t="inlineStr">
        <is>
          <t>x</t>
        </is>
      </c>
      <c r="B109" s="106" t="inlineStr">
        <is>
          <t>M&amp;A assumptions</t>
        </is>
      </c>
      <c r="C109" s="106" t="n"/>
      <c r="D109" s="106" t="n"/>
      <c r="E109" s="107" t="n"/>
      <c r="F109" s="107" t="n"/>
      <c r="G109" s="107" t="n"/>
      <c r="H109" s="107" t="n"/>
      <c r="I109" s="107" t="n"/>
      <c r="J109" s="107" t="n"/>
      <c r="K109" s="107" t="n"/>
      <c r="L109" s="107" t="n"/>
      <c r="M109" s="107" t="n"/>
      <c r="N109" s="107" t="n"/>
      <c r="O109" s="107" t="n"/>
      <c r="P109" s="107" t="n"/>
      <c r="Q109" s="107" t="n"/>
      <c r="R109" s="1150" t="n"/>
      <c r="S109" s="1150" t="n"/>
      <c r="T109" s="1150" t="n"/>
      <c r="U109" s="1150" t="n"/>
      <c r="V109" s="1150" t="n"/>
      <c r="W109" s="1150" t="n"/>
      <c r="X109" s="1150" t="n"/>
      <c r="Y109" s="1150" t="n"/>
      <c r="Z109" s="1150" t="n"/>
      <c r="AA109" s="1150" t="n"/>
      <c r="AB109" s="1150" t="n"/>
      <c r="AC109" s="1150" t="n"/>
      <c r="AD109" s="1150" t="n"/>
      <c r="AE109" s="1150" t="n"/>
      <c r="AF109" s="1150" t="n"/>
      <c r="AG109" s="1150" t="n"/>
      <c r="AH109" s="1150" t="n"/>
      <c r="AI109" s="1150" t="n"/>
    </row>
    <row r="110" ht="15" customHeight="1">
      <c r="A110" s="307" t="n"/>
      <c r="D110" s="1179" t="n"/>
      <c r="R110" s="1150" t="n"/>
      <c r="S110" s="1150" t="n"/>
      <c r="T110" s="1150" t="n"/>
      <c r="U110" s="1150" t="n"/>
      <c r="V110" s="1150" t="n"/>
      <c r="W110" s="1150" t="n"/>
      <c r="X110" s="1150" t="n"/>
      <c r="Y110" s="1150" t="n"/>
      <c r="Z110" s="1150" t="n"/>
      <c r="AA110" s="1150" t="n"/>
      <c r="AB110" s="1150" t="n"/>
      <c r="AC110" s="1150" t="n"/>
      <c r="AD110" s="1150" t="n"/>
      <c r="AE110" s="1150" t="n"/>
      <c r="AF110" s="1150" t="n"/>
      <c r="AG110" s="1150" t="n"/>
      <c r="AH110" s="1150" t="n"/>
      <c r="AI110" s="1150" t="n"/>
    </row>
    <row r="111" ht="38.25" customFormat="1" customHeight="1" s="327">
      <c r="A111" s="460" t="n"/>
      <c r="B111" s="347" t="inlineStr">
        <is>
          <t>Acquistion year</t>
        </is>
      </c>
      <c r="C111" s="361" t="n"/>
      <c r="D111" s="347" t="inlineStr">
        <is>
          <t>Acquistion name</t>
        </is>
      </c>
      <c r="E111" s="347" t="inlineStr">
        <is>
          <t>Entry multiple</t>
        </is>
      </c>
      <c r="F111" s="347" t="inlineStr">
        <is>
          <t>EV</t>
        </is>
      </c>
      <c r="G111" s="347" t="inlineStr">
        <is>
          <t>Upfront</t>
        </is>
      </c>
      <c r="H111" s="347" t="inlineStr">
        <is>
          <t>Reinvest</t>
        </is>
      </c>
      <c r="I111" s="347" t="inlineStr">
        <is>
          <t>Deferred</t>
        </is>
      </c>
      <c r="J111" s="347" t="inlineStr">
        <is>
          <t>Deferral years</t>
        </is>
      </c>
      <c r="K111" s="347" t="inlineStr">
        <is>
          <t>Revenue</t>
        </is>
      </c>
      <c r="L111" s="347" t="inlineStr">
        <is>
          <t>EBITDA</t>
        </is>
      </c>
      <c r="M111" s="347" t="inlineStr">
        <is>
          <t>EBITDA margin</t>
        </is>
      </c>
      <c r="N111" s="347" t="inlineStr">
        <is>
          <t>Revenue growth</t>
        </is>
      </c>
      <c r="O111" s="347" t="inlineStr">
        <is>
          <t>Synergy EBITDA margin</t>
        </is>
      </c>
      <c r="P111" s="347" t="inlineStr">
        <is>
          <t>GM %</t>
        </is>
      </c>
      <c r="Q111" s="347" t="inlineStr">
        <is>
          <t>EBIT%</t>
        </is>
      </c>
      <c r="S111" s="1150" t="n"/>
      <c r="T111" s="1150" t="n"/>
      <c r="U111" s="1150" t="n"/>
      <c r="V111" s="1150" t="n"/>
      <c r="W111" s="1150" t="n"/>
      <c r="X111" s="1150" t="n"/>
      <c r="Y111" s="1150" t="n"/>
      <c r="Z111" s="1150" t="n"/>
      <c r="AA111" s="1150" t="n"/>
      <c r="AB111" s="1150" t="n"/>
      <c r="AC111" s="1150" t="n"/>
      <c r="AD111" s="1150" t="n"/>
      <c r="AE111" s="1150" t="n"/>
      <c r="AF111" s="1150" t="n"/>
      <c r="AG111" s="1150" t="n"/>
      <c r="AH111" s="1150" t="n"/>
      <c r="AI111" s="1150" t="n"/>
    </row>
    <row r="112" ht="15" customHeight="1">
      <c r="A112" s="307">
        <f>+YEAR(B112)-2000</f>
        <v/>
      </c>
      <c r="B112" s="1180">
        <f>+I157</f>
        <v/>
      </c>
      <c r="D112" s="1181" t="n"/>
      <c r="E112" s="1182" t="n"/>
      <c r="F112" s="1183">
        <f>+L112*E112</f>
        <v/>
      </c>
      <c r="G112" s="1184" t="n"/>
      <c r="H112" s="1184" t="n"/>
      <c r="I112" s="1162">
        <f>1-G112-H112</f>
        <v/>
      </c>
      <c r="J112" s="1181" t="n"/>
      <c r="K112" s="1181" t="n"/>
      <c r="L112" s="1181" t="n"/>
      <c r="M112" s="1185">
        <f>IFERROR(+L112/K112,0)</f>
        <v/>
      </c>
      <c r="N112" s="1184" t="n"/>
      <c r="O112" s="1184" t="n"/>
      <c r="P112" s="363" t="n"/>
      <c r="Q112" s="1184" t="n"/>
      <c r="S112" s="1150" t="n"/>
      <c r="T112" s="1150" t="n"/>
      <c r="U112" s="1150" t="n"/>
      <c r="V112" s="1150" t="n"/>
      <c r="W112" s="1150" t="n"/>
      <c r="X112" s="1150" t="n"/>
      <c r="Y112" s="1150" t="n"/>
      <c r="Z112" s="1150" t="n"/>
      <c r="AA112" s="1150" t="n"/>
      <c r="AB112" s="1150" t="n"/>
      <c r="AC112" s="1150" t="n"/>
      <c r="AD112" s="1150" t="n"/>
      <c r="AE112" s="1150" t="n"/>
      <c r="AF112" s="1150" t="n"/>
      <c r="AG112" s="1150" t="n"/>
      <c r="AH112" s="1150" t="n"/>
      <c r="AI112" s="1150" t="n"/>
    </row>
    <row r="113" ht="15" customHeight="1">
      <c r="A113" s="307">
        <f>+YEAR(B113)-2000</f>
        <v/>
      </c>
      <c r="B113" s="1180">
        <f>+J157</f>
        <v/>
      </c>
      <c r="D113" s="1181" t="n"/>
      <c r="E113" s="1182" t="n"/>
      <c r="F113" s="1183">
        <f>+L113*E113</f>
        <v/>
      </c>
      <c r="G113" s="1184" t="n"/>
      <c r="H113" s="1184" t="n"/>
      <c r="I113" s="1162">
        <f>1-G113-H113</f>
        <v/>
      </c>
      <c r="J113" s="1181" t="n"/>
      <c r="K113" s="1181" t="n"/>
      <c r="L113" s="1181" t="n"/>
      <c r="M113" s="1185">
        <f>IFERROR(+L113/K113,0)</f>
        <v/>
      </c>
      <c r="N113" s="1184" t="n"/>
      <c r="O113" s="1184" t="n"/>
      <c r="P113" s="363" t="n"/>
      <c r="Q113" s="1184" t="n"/>
      <c r="S113" s="363" t="n"/>
      <c r="T113" s="363" t="n"/>
      <c r="U113" s="363" t="n"/>
      <c r="V113" s="363" t="n"/>
      <c r="W113" s="318" t="n"/>
      <c r="X113" s="318" t="n"/>
      <c r="Y113" s="318" t="n"/>
      <c r="AA113" s="2" t="n"/>
      <c r="AB113" s="2" t="n"/>
      <c r="AC113" s="1061" t="n"/>
      <c r="AD113" s="2" t="n"/>
      <c r="AE113" s="318" t="n"/>
      <c r="AF113" s="318" t="n"/>
      <c r="AG113" s="318" t="n"/>
    </row>
    <row r="114" ht="15" customHeight="1">
      <c r="A114" s="307">
        <f>+YEAR(B114)-2000</f>
        <v/>
      </c>
      <c r="B114" s="1180">
        <f>+K157</f>
        <v/>
      </c>
      <c r="D114" s="1181" t="n"/>
      <c r="E114" s="1182">
        <f>CHOOSE($H$6,Cases!$E$93,Cases!$E$94,Cases!$E$95)</f>
        <v/>
      </c>
      <c r="F114" s="1183">
        <f>+L114*E114</f>
        <v/>
      </c>
      <c r="G114" s="1184" t="n"/>
      <c r="H114" s="1184" t="n"/>
      <c r="I114" s="1162">
        <f>1-G114-H114</f>
        <v/>
      </c>
      <c r="J114" s="1181" t="n"/>
      <c r="K114" s="1181">
        <f>+L114/Cases!$E$89</f>
        <v/>
      </c>
      <c r="L114" s="1181">
        <f>CHOOSE($H$6,Cases!$F$93,Cases!$F$94,Cases!$F$95)</f>
        <v/>
      </c>
      <c r="M114" s="1185">
        <f>IFERROR(+L114/K114,0)</f>
        <v/>
      </c>
      <c r="N114" s="1184" t="n"/>
      <c r="O114" s="1184">
        <f>+M114</f>
        <v/>
      </c>
      <c r="P114" s="363" t="n"/>
      <c r="Q114" s="1184">
        <f>O114</f>
        <v/>
      </c>
      <c r="S114" s="363" t="n"/>
      <c r="T114" s="363" t="n"/>
      <c r="U114" s="363" t="n"/>
      <c r="V114" s="363" t="n"/>
      <c r="W114" s="318" t="n"/>
      <c r="X114" s="318" t="n"/>
      <c r="Y114" s="318" t="n"/>
      <c r="AA114" s="2" t="n"/>
      <c r="AB114" s="2" t="n"/>
      <c r="AC114" s="1061" t="n"/>
      <c r="AD114" s="2" t="n"/>
      <c r="AE114" s="318" t="n"/>
      <c r="AF114" s="318" t="n"/>
      <c r="AG114" s="318" t="n"/>
    </row>
    <row r="115" ht="15" customHeight="1">
      <c r="A115" s="307">
        <f>+YEAR(B115)-2000</f>
        <v/>
      </c>
      <c r="B115" s="1180">
        <f>+L157</f>
        <v/>
      </c>
      <c r="D115" s="1181" t="n"/>
      <c r="E115" s="1182">
        <f>CHOOSE($H$6,Cases!$E$93,Cases!$E$94,Cases!$E$95)</f>
        <v/>
      </c>
      <c r="F115" s="1183">
        <f>+L115*E115</f>
        <v/>
      </c>
      <c r="G115" s="1184" t="n"/>
      <c r="H115" s="1184" t="n"/>
      <c r="I115" s="1162">
        <f>1-G115-H115</f>
        <v/>
      </c>
      <c r="J115" s="1181" t="n"/>
      <c r="K115" s="1181">
        <f>+L115/Cases!$E$89</f>
        <v/>
      </c>
      <c r="L115" s="1181">
        <f>CHOOSE($H$6,Cases!$F$93,Cases!$F$94,Cases!$F$95)</f>
        <v/>
      </c>
      <c r="M115" s="1185">
        <f>IFERROR(+L115/K115,0)</f>
        <v/>
      </c>
      <c r="N115" s="1184" t="n"/>
      <c r="O115" s="1184">
        <f>+M115</f>
        <v/>
      </c>
      <c r="P115" s="363" t="n"/>
      <c r="Q115" s="1184">
        <f>O115</f>
        <v/>
      </c>
      <c r="S115" s="363" t="n"/>
      <c r="T115" s="363" t="n"/>
      <c r="U115" s="363" t="n"/>
      <c r="V115" s="363" t="n"/>
      <c r="W115" s="318" t="n"/>
      <c r="X115" s="318" t="n"/>
      <c r="Y115" s="318" t="n"/>
      <c r="AA115" s="2" t="n"/>
      <c r="AB115" s="2" t="n"/>
      <c r="AC115" s="1061" t="n"/>
      <c r="AD115" s="2" t="n"/>
      <c r="AE115" s="318" t="n"/>
      <c r="AF115" s="318" t="n"/>
      <c r="AG115" s="318" t="n"/>
    </row>
    <row r="116" ht="15" customHeight="1">
      <c r="A116" s="307">
        <f>+YEAR(B116)-2000</f>
        <v/>
      </c>
      <c r="B116" s="1180">
        <f>+M157</f>
        <v/>
      </c>
      <c r="D116" s="1181" t="n"/>
      <c r="E116" s="1182">
        <f>CHOOSE($H$6,Cases!$E$93,Cases!$E$94,Cases!$E$95)</f>
        <v/>
      </c>
      <c r="F116" s="1183">
        <f>+L116*E116</f>
        <v/>
      </c>
      <c r="G116" s="1184" t="n"/>
      <c r="H116" s="1184" t="n"/>
      <c r="I116" s="1162">
        <f>1-G116-H116</f>
        <v/>
      </c>
      <c r="J116" s="1181" t="n"/>
      <c r="K116" s="1181">
        <f>+L116/Cases!$E$89</f>
        <v/>
      </c>
      <c r="L116" s="1181">
        <f>CHOOSE($H$6,Cases!$F$93,Cases!$F$94,Cases!$F$95)</f>
        <v/>
      </c>
      <c r="M116" s="1185">
        <f>IFERROR(+L116/K116,0)</f>
        <v/>
      </c>
      <c r="N116" s="1184" t="n"/>
      <c r="O116" s="1184">
        <f>+M116</f>
        <v/>
      </c>
      <c r="P116" s="363" t="n"/>
      <c r="Q116" s="1184">
        <f>O116</f>
        <v/>
      </c>
      <c r="S116" s="363" t="n"/>
      <c r="T116" s="363" t="n"/>
      <c r="U116" s="363" t="n"/>
      <c r="V116" s="363" t="n"/>
      <c r="W116" s="318" t="n"/>
      <c r="X116" s="318" t="n"/>
      <c r="Y116" s="318" t="n"/>
      <c r="AA116" s="2" t="n"/>
      <c r="AB116" s="2" t="n"/>
      <c r="AC116" s="1061" t="n"/>
      <c r="AD116" s="2" t="n"/>
      <c r="AE116" s="318" t="n"/>
      <c r="AF116" s="318" t="n"/>
      <c r="AG116" s="318" t="n"/>
    </row>
    <row r="117" ht="15" customHeight="1">
      <c r="A117" s="307">
        <f>+YEAR(B117)-2000</f>
        <v/>
      </c>
      <c r="B117" s="1180">
        <f>+N157</f>
        <v/>
      </c>
      <c r="D117" s="1181" t="n"/>
      <c r="E117" s="1182">
        <f>CHOOSE($H$6,Cases!$E$93,Cases!$E$94,Cases!$E$95)</f>
        <v/>
      </c>
      <c r="F117" s="1183">
        <f>+L117*E117</f>
        <v/>
      </c>
      <c r="G117" s="1184" t="n"/>
      <c r="H117" s="1184" t="n"/>
      <c r="I117" s="1162">
        <f>1-G117-H117</f>
        <v/>
      </c>
      <c r="J117" s="1181" t="n"/>
      <c r="K117" s="1181">
        <f>+L117/Cases!$E$89</f>
        <v/>
      </c>
      <c r="L117" s="1181">
        <f>CHOOSE($H$6,Cases!$F$93,Cases!$F$94,Cases!$F$95)</f>
        <v/>
      </c>
      <c r="M117" s="1185">
        <f>IFERROR(+L117/K117,0)</f>
        <v/>
      </c>
      <c r="N117" s="1184" t="n"/>
      <c r="O117" s="1184">
        <f>+M117</f>
        <v/>
      </c>
      <c r="P117" s="363" t="n"/>
      <c r="Q117" s="1184">
        <f>O117</f>
        <v/>
      </c>
      <c r="S117" s="363" t="n"/>
      <c r="T117" s="363" t="n"/>
      <c r="U117" s="363" t="n"/>
      <c r="V117" s="363" t="n"/>
      <c r="W117" s="318" t="n"/>
      <c r="X117" s="318" t="n"/>
      <c r="Y117" s="318" t="n"/>
      <c r="AA117" s="2" t="n"/>
      <c r="AB117" s="2" t="n"/>
      <c r="AC117" s="1061" t="n"/>
      <c r="AD117" s="2" t="n"/>
      <c r="AE117" s="318" t="n"/>
      <c r="AF117" s="318" t="n"/>
      <c r="AG117" s="318" t="n"/>
    </row>
    <row r="118" ht="15" customHeight="1">
      <c r="A118" s="307" t="n"/>
      <c r="B118" s="1180" t="n"/>
      <c r="C118" s="1180" t="n"/>
      <c r="D118" s="1180" t="n"/>
      <c r="E118" s="1180" t="n"/>
      <c r="F118" s="1180" t="n"/>
      <c r="G118" s="1180" t="n"/>
      <c r="I118" s="1180" t="n"/>
      <c r="J118" s="1180" t="n"/>
      <c r="K118" s="1180" t="n"/>
      <c r="L118" s="1180" t="n"/>
      <c r="N118" s="1180" t="n"/>
      <c r="P118" s="1184">
        <f>N169</f>
        <v/>
      </c>
      <c r="S118" s="108" t="n"/>
      <c r="T118" s="108" t="n"/>
      <c r="U118" s="108" t="n"/>
      <c r="V118" s="108" t="n"/>
      <c r="W118" s="318" t="n"/>
      <c r="X118" s="318" t="n"/>
      <c r="Y118" s="318" t="n"/>
      <c r="AA118" s="2" t="n"/>
      <c r="AB118" s="2" t="n"/>
      <c r="AC118" s="1061" t="n"/>
      <c r="AD118" s="2" t="n"/>
      <c r="AE118" s="318" t="n"/>
      <c r="AF118" s="318" t="n"/>
      <c r="AG118" s="318" t="n"/>
    </row>
    <row r="119" ht="15" customHeight="1">
      <c r="A119" s="307" t="n"/>
      <c r="C119" s="1180" t="n"/>
      <c r="D119" s="364">
        <f>+A121</f>
        <v/>
      </c>
      <c r="E119" s="364">
        <f>+A122</f>
        <v/>
      </c>
      <c r="F119" s="364">
        <f>+A123</f>
        <v/>
      </c>
      <c r="G119" s="364">
        <f>+A124</f>
        <v/>
      </c>
      <c r="H119" s="364">
        <f>+A125</f>
        <v/>
      </c>
      <c r="I119" s="364">
        <f>+A126</f>
        <v/>
      </c>
      <c r="J119" s="1180" t="n"/>
      <c r="K119" s="1180" t="n"/>
      <c r="L119" s="1180" t="n"/>
      <c r="M119" s="1180" t="n"/>
      <c r="R119" s="89" t="n"/>
      <c r="S119" s="108" t="n"/>
      <c r="T119" s="108" t="n"/>
      <c r="U119" s="108" t="n"/>
      <c r="V119" s="108" t="n"/>
      <c r="W119" s="318" t="n"/>
      <c r="X119" s="318" t="n"/>
      <c r="Y119" s="318" t="n"/>
      <c r="AA119" s="2" t="n"/>
      <c r="AB119" s="2" t="n"/>
      <c r="AC119" s="1061" t="n"/>
      <c r="AD119" s="2" t="n"/>
      <c r="AE119" s="318" t="n"/>
      <c r="AF119" s="318" t="n"/>
      <c r="AG119" s="318" t="n"/>
    </row>
    <row r="120" outlineLevel="1" ht="15" customHeight="1">
      <c r="A120" s="307" t="n"/>
      <c r="B120" s="1186" t="inlineStr">
        <is>
          <t>EV schedule</t>
        </is>
      </c>
      <c r="C120" s="1180" t="n"/>
      <c r="D120" s="1180">
        <f>+B121</f>
        <v/>
      </c>
      <c r="E120" s="1180">
        <f>+B122</f>
        <v/>
      </c>
      <c r="F120" s="1180">
        <f>+B123</f>
        <v/>
      </c>
      <c r="G120" s="1180">
        <f>+B124</f>
        <v/>
      </c>
      <c r="H120" s="1180">
        <f>+B125</f>
        <v/>
      </c>
      <c r="I120" s="1180">
        <f>+B126</f>
        <v/>
      </c>
      <c r="J120" s="1187" t="inlineStr">
        <is>
          <t>Remaining liability</t>
        </is>
      </c>
      <c r="L120" s="1187" t="inlineStr">
        <is>
          <t>Check</t>
        </is>
      </c>
      <c r="M120" s="1180" t="n"/>
      <c r="R120" s="89" t="n"/>
      <c r="S120" s="108" t="n"/>
      <c r="T120" s="108" t="n"/>
      <c r="U120" s="108" t="n"/>
      <c r="V120" s="108" t="n"/>
      <c r="W120" s="318" t="n"/>
      <c r="X120" s="318" t="n"/>
      <c r="Y120" s="318" t="n"/>
      <c r="AA120" s="2" t="n"/>
      <c r="AB120" s="2" t="n"/>
      <c r="AC120" s="1061" t="n"/>
      <c r="AD120" s="2" t="n"/>
      <c r="AE120" s="318" t="n"/>
      <c r="AF120" s="318" t="n"/>
      <c r="AG120" s="318" t="n"/>
    </row>
    <row r="121" outlineLevel="1" ht="15" customHeight="1">
      <c r="A121" s="307">
        <f>+A112</f>
        <v/>
      </c>
      <c r="B121" s="1180">
        <f>+B112</f>
        <v/>
      </c>
      <c r="C121" s="1180" t="n"/>
      <c r="D121" s="1188">
        <f>INDEX($F$112:$F$117,MATCH(D$120,$B$112:$B$117,0))*(1-$I$112-$H$112)</f>
        <v/>
      </c>
      <c r="E121" s="1100">
        <f>IF(E$119&lt;=$A121+$J$112,INDEX($F$112:$F$117,MATCH($A121,$A$112:$A$117,0))*$I$112/$J$112,0)</f>
        <v/>
      </c>
      <c r="F121" s="1100">
        <f>IF(F$119&lt;=$A121+$J$112,INDEX($F$112:$F$117,MATCH($A121,$A$112:$A$117,0))*$I$112/$J$112,0)</f>
        <v/>
      </c>
      <c r="G121" s="1100">
        <f>IF(G$119&lt;=$A121+$J$112,INDEX($F$112:$F$117,MATCH($A121,$A$112:$A$117,0))*$I$112/$J$112,0)</f>
        <v/>
      </c>
      <c r="H121" s="1100">
        <f>IF(H$119&lt;=$A121+$J$112,INDEX($F$112:$F$117,MATCH($A121,$A$112:$A$117,0))*$I$112/$J$112,0)</f>
        <v/>
      </c>
      <c r="I121" s="1100">
        <f>IF(I$119&lt;=$A121+$J$112,INDEX($F$112:$F$117,MATCH($A121,$A$112:$A$117,0))*$I$112/$J$112,0)</f>
        <v/>
      </c>
      <c r="J121" s="1100">
        <f>+IF(SUM(D121:I121)&lt;(F112*(1-H112)),F112*(1-H112)-SUM(D121:I121),0)</f>
        <v/>
      </c>
      <c r="L121" s="1104">
        <f>+SUM(D121:J121)-F112*(1-H112)</f>
        <v/>
      </c>
      <c r="M121" s="1180" t="n"/>
      <c r="R121" s="89" t="n"/>
      <c r="S121" s="108" t="n"/>
      <c r="T121" s="108" t="n"/>
      <c r="U121" s="108" t="n"/>
      <c r="V121" s="108" t="n"/>
      <c r="W121" s="318" t="n"/>
      <c r="X121" s="318" t="n"/>
      <c r="Y121" s="318" t="n"/>
      <c r="AA121" s="2" t="n"/>
      <c r="AB121" s="2" t="n"/>
      <c r="AC121" s="1061" t="n"/>
      <c r="AD121" s="2" t="n"/>
      <c r="AE121" s="318" t="n"/>
      <c r="AF121" s="318" t="n"/>
      <c r="AG121" s="318" t="n"/>
    </row>
    <row r="122" outlineLevel="1" ht="15" customHeight="1">
      <c r="A122" s="307">
        <f>+A113</f>
        <v/>
      </c>
      <c r="B122" s="1180">
        <f>+B113</f>
        <v/>
      </c>
      <c r="C122" s="1180" t="n"/>
      <c r="D122" s="366" t="n"/>
      <c r="E122" s="1189">
        <f>INDEX($F$112:$F$117,MATCH(E$120,$B$112:$B$117,0))*(1-$I$113-$H$113)</f>
        <v/>
      </c>
      <c r="F122" s="1104">
        <f>IF(F$119&lt;=$A122+$J$113,INDEX($F$112:$F$117,MATCH($A122,$A$112:$A$117,0))*$I$113/$J$113,0)</f>
        <v/>
      </c>
      <c r="G122" s="1104">
        <f>IF(G$119&lt;=$A122+$J$113,INDEX($F$112:$F$117,MATCH($A122,$A$112:$A$117,0))*$I$113/$J$113,0)</f>
        <v/>
      </c>
      <c r="H122" s="1104">
        <f>IF(H$119&lt;=$A122+$J$113,INDEX($F$112:$F$117,MATCH($A122,$A$112:$A$117,0))*$I$113/$J$113,0)</f>
        <v/>
      </c>
      <c r="I122" s="1104">
        <f>IF(I$119&lt;=$A122+$J$113,INDEX($F$112:$F$117,MATCH($A122,$A$112:$A$117,0))*$I$113/$J$113,0)</f>
        <v/>
      </c>
      <c r="J122" s="1104">
        <f>+IF(SUM(D122:I122)&lt;(F113*(1-H113)),F113*(1-H113)-SUM(D122:I122),0)</f>
        <v/>
      </c>
      <c r="L122" s="1104">
        <f>+SUM(D122:J122)-F113*(1-H113)</f>
        <v/>
      </c>
      <c r="M122" s="1180" t="n"/>
      <c r="R122" s="89" t="n"/>
      <c r="S122" s="108" t="n"/>
      <c r="T122" s="108" t="n"/>
      <c r="U122" s="108" t="n"/>
      <c r="V122" s="108" t="n"/>
      <c r="W122" s="318" t="n"/>
      <c r="X122" s="318" t="n"/>
      <c r="Y122" s="318" t="n"/>
      <c r="AA122" s="2" t="n"/>
      <c r="AB122" s="2" t="n"/>
      <c r="AC122" s="1061" t="n"/>
      <c r="AD122" s="2" t="n"/>
      <c r="AE122" s="318" t="n"/>
      <c r="AF122" s="318" t="n"/>
      <c r="AG122" s="318" t="n"/>
    </row>
    <row r="123" outlineLevel="1" ht="15" customHeight="1">
      <c r="A123" s="307">
        <f>+A114</f>
        <v/>
      </c>
      <c r="B123" s="1180">
        <f>+B114</f>
        <v/>
      </c>
      <c r="C123" s="1180" t="n"/>
      <c r="D123" s="366" t="n"/>
      <c r="E123" s="353" t="n"/>
      <c r="F123" s="1189">
        <f>INDEX($F$112:$F$117,MATCH(F$120,$B$112:$B$117,0))*(1-$I$114-$H$114)</f>
        <v/>
      </c>
      <c r="G123" s="1104">
        <f>IF(G$119&lt;=$A123+$J$114,INDEX($F$112:$F$117,MATCH($A123,$A$112:$A$117,0))*$I$114/$J$114,0)</f>
        <v/>
      </c>
      <c r="H123" s="1104">
        <f>IF(H$119&lt;=$A123+$J$114,INDEX($F$112:$F$117,MATCH($A123,$A$112:$A$117,0))*$I$114/$J$114,0)</f>
        <v/>
      </c>
      <c r="I123" s="1104">
        <f>IF(I$119&lt;=$A123+$J$114,INDEX($F$112:$F$117,MATCH($A123,$A$112:$A$117,0))*$I$114/$J$114,0)</f>
        <v/>
      </c>
      <c r="J123" s="1104">
        <f>+IF(SUM(D123:I123)&lt;(F114*(1-H114)),F114*(1-H114)-SUM(D123:I123),0)</f>
        <v/>
      </c>
      <c r="L123" s="1104">
        <f>+SUM(D123:J123)-F114*(1-H114)</f>
        <v/>
      </c>
      <c r="M123" s="1180" t="n"/>
      <c r="R123" s="89" t="n"/>
      <c r="S123" s="108" t="n"/>
      <c r="T123" s="108" t="n"/>
      <c r="U123" s="108" t="n"/>
      <c r="V123" s="108" t="n"/>
      <c r="W123" s="318" t="n"/>
      <c r="X123" s="318" t="n"/>
      <c r="Y123" s="318" t="n"/>
      <c r="AA123" s="2" t="n"/>
      <c r="AB123" s="2" t="n"/>
      <c r="AC123" s="1061" t="n"/>
      <c r="AD123" s="2" t="n"/>
      <c r="AE123" s="318" t="n"/>
      <c r="AF123" s="318" t="n"/>
      <c r="AG123" s="318" t="n"/>
    </row>
    <row r="124" outlineLevel="1" ht="15" customHeight="1">
      <c r="A124" s="307">
        <f>+A115</f>
        <v/>
      </c>
      <c r="B124" s="1180">
        <f>+B115</f>
        <v/>
      </c>
      <c r="C124" s="1180" t="n"/>
      <c r="D124" s="366" t="n"/>
      <c r="E124" s="353" t="n"/>
      <c r="F124" s="353" t="n"/>
      <c r="G124" s="1189">
        <f>INDEX($F$112:$F$117,MATCH(G$120,$B$112:$B$117,0))*(1-$I$115-$H$115)</f>
        <v/>
      </c>
      <c r="H124" s="1104">
        <f>IF(H$119&lt;=$A124+$J$115,INDEX($F$112:$F$117,MATCH($A124,$A$112:$A$117,0))*$I$115/$J$115,0)</f>
        <v/>
      </c>
      <c r="I124" s="1104">
        <f>IF(I$119&lt;=$A124+$J$115,INDEX($F$112:$F$117,MATCH($A124,$A$112:$A$117,0))*$I$115/$J$115,0)</f>
        <v/>
      </c>
      <c r="J124" s="1104">
        <f>+IF(SUM(D124:I124)&lt;(F115*(1-H115)),F115*(1-H115)-SUM(D124:I124),0)</f>
        <v/>
      </c>
      <c r="L124" s="1104">
        <f>+SUM(D124:J124)-F115*(1-H115)</f>
        <v/>
      </c>
      <c r="M124" s="1180" t="n"/>
      <c r="R124" s="89" t="n"/>
      <c r="S124" s="108" t="n"/>
      <c r="T124" s="108" t="n"/>
      <c r="U124" s="108" t="n"/>
      <c r="V124" s="108" t="n"/>
      <c r="W124" s="318" t="n"/>
      <c r="X124" s="318" t="n"/>
      <c r="Y124" s="318" t="n"/>
      <c r="AA124" s="2" t="n"/>
      <c r="AB124" s="2" t="n"/>
      <c r="AC124" s="1061" t="n"/>
      <c r="AD124" s="2" t="n"/>
      <c r="AE124" s="318" t="n"/>
      <c r="AF124" s="318" t="n"/>
      <c r="AG124" s="318" t="n"/>
    </row>
    <row r="125" outlineLevel="1" ht="15" customHeight="1">
      <c r="A125" s="307">
        <f>+A116</f>
        <v/>
      </c>
      <c r="B125" s="1180">
        <f>+B116</f>
        <v/>
      </c>
      <c r="C125" s="1180" t="n"/>
      <c r="D125" s="366" t="n"/>
      <c r="E125" s="353" t="n"/>
      <c r="F125" s="353" t="n"/>
      <c r="G125" s="353" t="n"/>
      <c r="H125" s="1189">
        <f>INDEX($F$112:$F$117,MATCH(H$120,$B$112:$B$117,0))*(1-$I$116-$H$116)</f>
        <v/>
      </c>
      <c r="I125" s="1104">
        <f>IF(I$119&lt;=$A125+$J$116,INDEX($F$112:$F$117,MATCH($A125,$A$112:$A$117,0))*$I$116/$J$116,0)</f>
        <v/>
      </c>
      <c r="J125" s="1104">
        <f>+IF(SUM(D125:I125)&lt;(F116*(1-H116)),F116*(1-H116)-SUM(D125:I125),0)</f>
        <v/>
      </c>
      <c r="L125" s="1104">
        <f>+SUM(D125:J125)-F116*(1-H116)</f>
        <v/>
      </c>
      <c r="M125" s="1180" t="n"/>
      <c r="R125" s="89" t="n"/>
      <c r="S125" s="108" t="n"/>
      <c r="T125" s="108" t="n"/>
      <c r="U125" s="108" t="n"/>
      <c r="V125" s="108" t="n"/>
      <c r="W125" s="318" t="n"/>
      <c r="X125" s="318" t="n"/>
      <c r="Y125" s="318" t="n"/>
      <c r="AA125" s="2" t="n"/>
      <c r="AB125" s="2" t="n"/>
      <c r="AC125" s="1061" t="n"/>
      <c r="AD125" s="2" t="n"/>
      <c r="AE125" s="318" t="n"/>
      <c r="AF125" s="318" t="n"/>
      <c r="AG125" s="318" t="n"/>
    </row>
    <row r="126" outlineLevel="1" ht="15" customHeight="1">
      <c r="A126" s="307">
        <f>+A117</f>
        <v/>
      </c>
      <c r="B126" s="1180">
        <f>+B117</f>
        <v/>
      </c>
      <c r="C126" s="1180" t="n"/>
      <c r="D126" s="366" t="n"/>
      <c r="E126" s="353" t="n"/>
      <c r="F126" s="353" t="n"/>
      <c r="G126" s="353" t="n"/>
      <c r="H126" s="353" t="n"/>
      <c r="I126" s="1189">
        <f>INDEX($F$112:$F$117,MATCH(I$120,$B$112:$B$117,0))*(1-$I$117-$H$117)</f>
        <v/>
      </c>
      <c r="J126" s="1104">
        <f>+IF(SUM(D126:I126)&lt;(F117*(1-H117)),F117*(1-H117)-SUM(D126:I126),0)</f>
        <v/>
      </c>
      <c r="L126" s="1104">
        <f>+SUM(D126:J126)-F117*(1-H117)</f>
        <v/>
      </c>
      <c r="M126" s="1180" t="n"/>
      <c r="R126" s="89" t="n"/>
      <c r="S126" s="108" t="n"/>
      <c r="T126" s="108" t="n"/>
      <c r="U126" s="108" t="n"/>
      <c r="V126" s="108" t="n"/>
      <c r="W126" s="318" t="n"/>
      <c r="X126" s="318" t="n"/>
      <c r="Y126" s="318" t="n"/>
      <c r="AA126" s="2" t="n"/>
      <c r="AB126" s="2" t="n"/>
      <c r="AC126" s="1061" t="n"/>
      <c r="AD126" s="2" t="n"/>
      <c r="AE126" s="318" t="n"/>
      <c r="AF126" s="318" t="n"/>
      <c r="AG126" s="318" t="n"/>
    </row>
    <row r="127" outlineLevel="1" ht="15" customHeight="1">
      <c r="A127" s="307" t="n"/>
      <c r="B127" s="1180" t="n"/>
      <c r="C127" s="1180" t="n"/>
      <c r="I127" s="1104" t="n"/>
      <c r="J127" s="1104" t="n"/>
      <c r="L127" s="1104" t="n"/>
      <c r="M127" s="1180" t="n"/>
      <c r="R127" s="89" t="n"/>
      <c r="S127" s="108" t="n"/>
      <c r="T127" s="108" t="n"/>
      <c r="U127" s="108" t="n"/>
      <c r="V127" s="108" t="n"/>
      <c r="W127" s="318" t="n"/>
      <c r="X127" s="318" t="n"/>
      <c r="Y127" s="318" t="n"/>
      <c r="AA127" s="2" t="n"/>
      <c r="AB127" s="2" t="n"/>
      <c r="AC127" s="1061" t="n"/>
      <c r="AD127" s="2" t="n"/>
      <c r="AE127" s="318" t="n"/>
      <c r="AF127" s="318" t="n"/>
      <c r="AG127" s="318" t="n"/>
    </row>
    <row r="128" outlineLevel="1" ht="15" customHeight="1">
      <c r="A128" s="307" t="n"/>
      <c r="B128" s="1180" t="inlineStr">
        <is>
          <t>Earn-out liabiltiy</t>
        </is>
      </c>
      <c r="C128" s="1180" t="n"/>
      <c r="D128" s="1069">
        <f>+SUM(E121:I121)</f>
        <v/>
      </c>
      <c r="E128" s="1069">
        <f>+SUM(F121:I122)</f>
        <v/>
      </c>
      <c r="F128" s="1069">
        <f>+SUM(G121:I123)</f>
        <v/>
      </c>
      <c r="G128" s="1069">
        <f>+SUM(H121:I124)</f>
        <v/>
      </c>
      <c r="H128" s="1069">
        <f>+SUM(I121:J125)</f>
        <v/>
      </c>
      <c r="I128" s="1069">
        <f>+SUM(J121:J126)</f>
        <v/>
      </c>
      <c r="J128" s="1104" t="n"/>
      <c r="L128" s="1104" t="n"/>
      <c r="M128" s="1180" t="n"/>
      <c r="R128" s="89" t="n"/>
      <c r="S128" s="108" t="n"/>
      <c r="T128" s="108" t="n"/>
      <c r="U128" s="108" t="n"/>
      <c r="V128" s="108" t="n"/>
      <c r="W128" s="318" t="n"/>
      <c r="X128" s="318" t="n"/>
      <c r="Y128" s="318" t="n"/>
      <c r="AA128" s="2" t="n"/>
      <c r="AB128" s="2" t="n"/>
      <c r="AC128" s="1061" t="n"/>
      <c r="AD128" s="2" t="n"/>
      <c r="AE128" s="318" t="n"/>
      <c r="AF128" s="318" t="n"/>
      <c r="AG128" s="318" t="n"/>
    </row>
    <row r="129" outlineLevel="1" ht="15" customHeight="1">
      <c r="A129" s="307" t="n"/>
      <c r="B129" s="1180" t="n"/>
      <c r="C129" s="1180" t="n"/>
      <c r="D129" s="1180" t="n"/>
      <c r="E129" s="1180" t="n"/>
      <c r="F129" s="1180" t="n"/>
      <c r="G129" s="1180" t="n"/>
      <c r="H129" s="1180" t="n"/>
      <c r="I129" s="1180" t="n"/>
      <c r="J129" s="1180" t="n"/>
      <c r="K129" s="1180" t="n"/>
      <c r="L129" s="1180" t="n"/>
      <c r="M129" s="1180" t="n"/>
      <c r="R129" s="89" t="n"/>
      <c r="S129" s="108" t="n"/>
      <c r="T129" s="108" t="n"/>
      <c r="U129" s="108" t="n"/>
      <c r="V129" s="108" t="n"/>
      <c r="W129" s="318" t="n"/>
      <c r="X129" s="318" t="n"/>
      <c r="Y129" s="318" t="n"/>
      <c r="AA129" s="2" t="n"/>
      <c r="AB129" s="2" t="n"/>
      <c r="AC129" s="1061" t="n"/>
      <c r="AD129" s="2" t="n"/>
      <c r="AE129" s="318" t="n"/>
      <c r="AF129" s="318" t="n"/>
      <c r="AG129" s="318" t="n"/>
    </row>
    <row r="130" outlineLevel="1" ht="15" customHeight="1">
      <c r="A130" s="307" t="n"/>
      <c r="B130" s="1190" t="inlineStr">
        <is>
          <t>Revenue schedule</t>
        </is>
      </c>
      <c r="C130" s="1180" t="n"/>
      <c r="D130" s="1180">
        <f>+B131</f>
        <v/>
      </c>
      <c r="E130" s="1180">
        <f>+B132</f>
        <v/>
      </c>
      <c r="F130" s="1180">
        <f>+B133</f>
        <v/>
      </c>
      <c r="G130" s="1180">
        <f>+B134</f>
        <v/>
      </c>
      <c r="H130" s="1180">
        <f>+B135</f>
        <v/>
      </c>
      <c r="I130" s="1180">
        <f>+B136</f>
        <v/>
      </c>
      <c r="J130" s="1180" t="n"/>
      <c r="K130" s="1180" t="n"/>
      <c r="L130" s="1180" t="n"/>
      <c r="M130" s="1180" t="n"/>
      <c r="R130" s="89" t="n"/>
      <c r="S130" s="108" t="n"/>
      <c r="T130" s="108" t="n"/>
      <c r="U130" s="108" t="n"/>
      <c r="V130" s="108" t="n"/>
      <c r="W130" s="318" t="n"/>
      <c r="X130" s="318" t="n"/>
      <c r="Y130" s="318" t="n"/>
      <c r="AA130" s="2" t="n"/>
      <c r="AB130" s="2" t="n"/>
      <c r="AC130" s="1061" t="n"/>
      <c r="AD130" s="2" t="n"/>
      <c r="AE130" s="318" t="n"/>
      <c r="AF130" s="318" t="n"/>
      <c r="AG130" s="318" t="n"/>
    </row>
    <row r="131" outlineLevel="1" ht="15" customHeight="1">
      <c r="A131" s="307">
        <f>A121</f>
        <v/>
      </c>
      <c r="B131" s="1180">
        <f>+B112</f>
        <v/>
      </c>
      <c r="C131" s="1180" t="n"/>
      <c r="D131" s="1188">
        <f>INDEX($K$112:$K$117,MATCH(D$130,$B$112:$B$117,0))</f>
        <v/>
      </c>
      <c r="E131" s="1100">
        <f>+D131*(1+$N112)</f>
        <v/>
      </c>
      <c r="F131" s="1100">
        <f>+E131*(1+$N112)</f>
        <v/>
      </c>
      <c r="G131" s="1100">
        <f>+F131*(1+$N112)</f>
        <v/>
      </c>
      <c r="H131" s="1100">
        <f>+G131*(1+$N112)</f>
        <v/>
      </c>
      <c r="I131" s="1100">
        <f>+H131*(1+$N112)</f>
        <v/>
      </c>
      <c r="J131" s="1180" t="n"/>
      <c r="K131" s="1180" t="n"/>
      <c r="L131" s="1180" t="n"/>
      <c r="M131" s="1180" t="n"/>
      <c r="R131" s="89" t="n"/>
      <c r="S131" s="108" t="n"/>
      <c r="T131" s="108" t="n"/>
      <c r="U131" s="108" t="n"/>
      <c r="V131" s="108" t="n"/>
      <c r="W131" s="318" t="n"/>
      <c r="X131" s="318" t="n"/>
      <c r="Y131" s="318" t="n"/>
      <c r="AA131" s="2" t="n"/>
      <c r="AB131" s="2" t="n"/>
      <c r="AC131" s="1061" t="n"/>
      <c r="AD131" s="2" t="n"/>
      <c r="AE131" s="318" t="n"/>
      <c r="AF131" s="318" t="n"/>
      <c r="AG131" s="318" t="n"/>
    </row>
    <row r="132" outlineLevel="1" ht="15" customHeight="1">
      <c r="A132" s="307">
        <f>A122</f>
        <v/>
      </c>
      <c r="B132" s="1180">
        <f>+B113</f>
        <v/>
      </c>
      <c r="C132" s="1180" t="n"/>
      <c r="D132" s="366" t="n"/>
      <c r="E132" s="1189">
        <f>INDEX($K$112:$K$117,MATCH(E$130,$B$112:$B$117,0))</f>
        <v/>
      </c>
      <c r="F132" s="1104">
        <f>+E132*(1+$N113)</f>
        <v/>
      </c>
      <c r="G132" s="1104">
        <f>+F132*(1+$N113)</f>
        <v/>
      </c>
      <c r="H132" s="1104">
        <f>+G132*(1+$N113)</f>
        <v/>
      </c>
      <c r="I132" s="1104">
        <f>+H132*(1+$N113)</f>
        <v/>
      </c>
      <c r="J132" s="1180" t="n"/>
      <c r="K132" s="1180" t="n"/>
      <c r="L132" s="1180" t="n"/>
      <c r="M132" s="1180" t="n"/>
      <c r="R132" s="89" t="n"/>
      <c r="S132" s="108" t="n"/>
      <c r="T132" s="108" t="n"/>
      <c r="U132" s="108" t="n"/>
      <c r="V132" s="108" t="n"/>
      <c r="W132" s="318" t="n"/>
      <c r="X132" s="318" t="n"/>
      <c r="Y132" s="318" t="n"/>
      <c r="AA132" s="2" t="n"/>
      <c r="AB132" s="2" t="n"/>
      <c r="AC132" s="1061" t="n"/>
      <c r="AD132" s="2" t="n"/>
      <c r="AE132" s="318" t="n"/>
      <c r="AF132" s="318" t="n"/>
      <c r="AG132" s="318" t="n"/>
    </row>
    <row r="133" outlineLevel="1" ht="15" customHeight="1">
      <c r="A133" s="307">
        <f>A123</f>
        <v/>
      </c>
      <c r="B133" s="1180">
        <f>+B114</f>
        <v/>
      </c>
      <c r="C133" s="1180" t="n"/>
      <c r="D133" s="366" t="n"/>
      <c r="E133" s="353" t="n"/>
      <c r="F133" s="1189">
        <f>INDEX($K$112:$K$117,MATCH(F$130,$B$112:$B$117,0))</f>
        <v/>
      </c>
      <c r="G133" s="1104">
        <f>+F133*(1+$N114)</f>
        <v/>
      </c>
      <c r="H133" s="1104">
        <f>+G133*(1+$N114)</f>
        <v/>
      </c>
      <c r="I133" s="1104">
        <f>+H133*(1+$N114)</f>
        <v/>
      </c>
      <c r="J133" s="1180" t="n"/>
      <c r="K133" s="1180" t="n"/>
      <c r="L133" s="1180" t="n"/>
      <c r="M133" s="1180" t="n"/>
      <c r="R133" s="89" t="n"/>
      <c r="S133" s="108" t="n"/>
      <c r="T133" s="108" t="n"/>
      <c r="U133" s="108" t="n"/>
      <c r="V133" s="108" t="n"/>
      <c r="W133" s="318" t="n"/>
      <c r="X133" s="318" t="n"/>
      <c r="Y133" s="318" t="n"/>
      <c r="AA133" s="2" t="n"/>
      <c r="AB133" s="2" t="n"/>
      <c r="AC133" s="1061" t="n"/>
      <c r="AD133" s="2" t="n"/>
      <c r="AE133" s="318" t="n"/>
      <c r="AF133" s="318" t="n"/>
      <c r="AG133" s="318" t="n"/>
    </row>
    <row r="134" outlineLevel="1" ht="15" customHeight="1">
      <c r="A134" s="307">
        <f>A124</f>
        <v/>
      </c>
      <c r="B134" s="1180">
        <f>+B115</f>
        <v/>
      </c>
      <c r="C134" s="1180" t="n"/>
      <c r="D134" s="366" t="n"/>
      <c r="E134" s="353" t="n"/>
      <c r="F134" s="353" t="n"/>
      <c r="G134" s="1189">
        <f>INDEX($K$112:$K$117,MATCH(G$130,$B$112:$B$117,0))</f>
        <v/>
      </c>
      <c r="H134" s="1104">
        <f>+G134*(1+$N115)</f>
        <v/>
      </c>
      <c r="I134" s="1104">
        <f>+H134*(1+$N115)</f>
        <v/>
      </c>
      <c r="J134" s="1180" t="n"/>
      <c r="K134" s="1180" t="n"/>
      <c r="L134" s="1180" t="n"/>
      <c r="M134" s="1180" t="n"/>
      <c r="R134" s="89" t="n"/>
      <c r="S134" s="108" t="n"/>
      <c r="T134" s="108" t="n"/>
      <c r="U134" s="108" t="n"/>
      <c r="V134" s="108" t="n"/>
      <c r="W134" s="318" t="n"/>
      <c r="X134" s="318" t="n"/>
      <c r="Y134" s="318" t="n"/>
      <c r="AA134" s="2" t="n"/>
      <c r="AB134" s="2" t="n"/>
      <c r="AC134" s="1061" t="n"/>
      <c r="AD134" s="2" t="n"/>
      <c r="AE134" s="318" t="n"/>
      <c r="AF134" s="318" t="n"/>
      <c r="AG134" s="318" t="n"/>
    </row>
    <row r="135" outlineLevel="1" ht="15" customHeight="1">
      <c r="A135" s="307">
        <f>A125</f>
        <v/>
      </c>
      <c r="B135" s="1180">
        <f>+B116</f>
        <v/>
      </c>
      <c r="C135" s="1180" t="n"/>
      <c r="D135" s="366" t="n"/>
      <c r="E135" s="353" t="n"/>
      <c r="F135" s="353" t="n"/>
      <c r="G135" s="353" t="n"/>
      <c r="H135" s="1189">
        <f>INDEX($K$112:$K$117,MATCH(H$130,$B$112:$B$117,0))</f>
        <v/>
      </c>
      <c r="I135" s="1104">
        <f>+H135*(1+$N116)</f>
        <v/>
      </c>
      <c r="J135" s="1180" t="n"/>
      <c r="K135" s="1180" t="n"/>
      <c r="L135" s="1180" t="n"/>
      <c r="M135" s="1180" t="n"/>
      <c r="R135" s="89" t="n"/>
      <c r="S135" s="108" t="n"/>
      <c r="T135" s="108" t="n"/>
      <c r="U135" s="108" t="n"/>
      <c r="V135" s="108" t="n"/>
      <c r="W135" s="318" t="n"/>
      <c r="X135" s="318" t="n"/>
      <c r="Y135" s="318" t="n"/>
      <c r="AA135" s="2" t="n"/>
      <c r="AB135" s="2" t="n"/>
      <c r="AC135" s="1061" t="n"/>
      <c r="AD135" s="2" t="n"/>
      <c r="AE135" s="318" t="n"/>
      <c r="AF135" s="318" t="n"/>
      <c r="AG135" s="318" t="n"/>
    </row>
    <row r="136" outlineLevel="1" ht="15" customHeight="1">
      <c r="A136" s="307">
        <f>A126</f>
        <v/>
      </c>
      <c r="B136" s="1180">
        <f>+B117</f>
        <v/>
      </c>
      <c r="C136" s="1180" t="n"/>
      <c r="D136" s="366" t="n"/>
      <c r="E136" s="353" t="n"/>
      <c r="F136" s="353" t="n"/>
      <c r="G136" s="353" t="n"/>
      <c r="H136" s="353" t="n"/>
      <c r="I136" s="1189">
        <f>INDEX($K$112:$K$117,MATCH(I$130,$B$112:$B$117,0))</f>
        <v/>
      </c>
      <c r="J136" s="1180" t="n"/>
      <c r="K136" s="1180" t="n"/>
      <c r="L136" s="1180" t="n"/>
      <c r="M136" s="1180" t="n"/>
      <c r="R136" s="89" t="n"/>
      <c r="S136" s="108" t="n"/>
      <c r="T136" s="108" t="n"/>
      <c r="U136" s="108" t="n"/>
      <c r="V136" s="108" t="n"/>
      <c r="W136" s="318" t="n"/>
      <c r="X136" s="318" t="n"/>
      <c r="Y136" s="318" t="n"/>
      <c r="AA136" s="2" t="n"/>
      <c r="AB136" s="2" t="n"/>
      <c r="AC136" s="1061" t="n"/>
      <c r="AD136" s="2" t="n"/>
      <c r="AE136" s="318" t="n"/>
      <c r="AF136" s="318" t="n"/>
      <c r="AG136" s="318" t="n"/>
    </row>
    <row r="137" outlineLevel="1" ht="15" customHeight="1">
      <c r="A137" s="307" t="n"/>
      <c r="B137" s="1180" t="n"/>
      <c r="C137" s="1180" t="n"/>
      <c r="D137" s="1180" t="n"/>
      <c r="E137" s="1180" t="n"/>
      <c r="F137" s="1180" t="n"/>
      <c r="G137" s="1180" t="n"/>
      <c r="H137" s="1180" t="n"/>
      <c r="I137" s="1191" t="n"/>
      <c r="J137" s="1180" t="n"/>
      <c r="K137" s="1180" t="n"/>
      <c r="L137" s="1180" t="n"/>
      <c r="M137" s="1180" t="n"/>
      <c r="R137" s="89" t="n"/>
      <c r="S137" s="108" t="n"/>
      <c r="T137" s="108" t="n"/>
      <c r="U137" s="108" t="n"/>
      <c r="V137" s="108" t="n"/>
      <c r="W137" s="318" t="n"/>
      <c r="X137" s="318" t="n"/>
      <c r="Y137" s="318" t="n"/>
      <c r="AA137" s="2" t="n"/>
      <c r="AB137" s="2" t="n"/>
      <c r="AC137" s="1061" t="n"/>
      <c r="AD137" s="2" t="n"/>
      <c r="AE137" s="318" t="n"/>
      <c r="AF137" s="318" t="n"/>
      <c r="AG137" s="318" t="n"/>
    </row>
    <row r="138" outlineLevel="1" ht="15" customHeight="1">
      <c r="A138" s="307" t="n"/>
      <c r="B138" s="1190" t="inlineStr">
        <is>
          <t>EBITDA schedule</t>
        </is>
      </c>
      <c r="C138" s="1180" t="n"/>
      <c r="D138" s="1180">
        <f>+B139</f>
        <v/>
      </c>
      <c r="E138" s="1180">
        <f>+B140</f>
        <v/>
      </c>
      <c r="F138" s="1180">
        <f>+B141</f>
        <v/>
      </c>
      <c r="G138" s="1180">
        <f>+B142</f>
        <v/>
      </c>
      <c r="H138" s="1180">
        <f>+B143</f>
        <v/>
      </c>
      <c r="I138" s="1180">
        <f>+B144</f>
        <v/>
      </c>
      <c r="K138" s="1180">
        <f>+D138</f>
        <v/>
      </c>
      <c r="L138" s="1180">
        <f>+E138</f>
        <v/>
      </c>
      <c r="M138" s="1180">
        <f>+F138</f>
        <v/>
      </c>
      <c r="N138" s="1180">
        <f>+G138</f>
        <v/>
      </c>
      <c r="O138" s="1180">
        <f>+H138</f>
        <v/>
      </c>
      <c r="P138" s="1180">
        <f>+I138</f>
        <v/>
      </c>
      <c r="R138" s="89" t="n"/>
      <c r="S138" s="108" t="n"/>
      <c r="T138" s="108" t="n"/>
      <c r="U138" s="108" t="n"/>
      <c r="V138" s="108" t="n"/>
      <c r="W138" s="318" t="n"/>
      <c r="X138" s="318" t="n"/>
      <c r="Y138" s="318" t="n"/>
      <c r="AA138" s="2" t="n"/>
      <c r="AB138" s="2" t="n"/>
      <c r="AC138" s="1061" t="n"/>
      <c r="AD138" s="2" t="n"/>
      <c r="AE138" s="318" t="n"/>
      <c r="AF138" s="318" t="n"/>
      <c r="AG138" s="318" t="n"/>
    </row>
    <row r="139" outlineLevel="1" ht="15" customHeight="1">
      <c r="A139" s="307">
        <f>A131</f>
        <v/>
      </c>
      <c r="B139" s="1180">
        <f>+B121</f>
        <v/>
      </c>
      <c r="C139" s="1180" t="n"/>
      <c r="D139" s="1188">
        <f>(INDEX($M$112:$M$117,MATCH($A139,$A$112:$A$117,0))+K139)*D131</f>
        <v/>
      </c>
      <c r="E139" s="1100">
        <f>(INDEX($M$112:$M$117,MATCH($A139,$A$112:$A$117,0))+L139)*E131</f>
        <v/>
      </c>
      <c r="F139" s="1100">
        <f>(INDEX($M$112:$M$117,MATCH($A139,$A$112:$A$117,0))+M139)*F131</f>
        <v/>
      </c>
      <c r="G139" s="1100">
        <f>(INDEX($M$112:$M$117,MATCH($A139,$A$112:$A$117,0))+N139)*G131</f>
        <v/>
      </c>
      <c r="H139" s="1100">
        <f>(INDEX($M$112:$M$117,MATCH($A139,$A$112:$A$117,0))+O139)*H131</f>
        <v/>
      </c>
      <c r="I139" s="1100">
        <f>(INDEX($M$112:$M$117,MATCH($A139,$A$112:$A$117,0))+P139)*I131</f>
        <v/>
      </c>
      <c r="K139" s="650">
        <f>IFERROR(((($O112-$M112)/(5))*MAX((YEAR(K$138)-YEAR($B139)),0)),0)</f>
        <v/>
      </c>
      <c r="L139" s="651">
        <f>IFERROR(((($O112-$M112)/(5))*MAX((YEAR(L$138)-YEAR($B139)),0)),0)</f>
        <v/>
      </c>
      <c r="M139" s="651">
        <f>IFERROR(((($O112-$M112)/(5))*MAX((YEAR(M$138)-YEAR($B139)),0)),0)</f>
        <v/>
      </c>
      <c r="N139" s="651">
        <f>IFERROR(((($O112-$M112)/(5))*MAX((YEAR(N$138)-YEAR($B139)),0)),0)</f>
        <v/>
      </c>
      <c r="O139" s="651">
        <f>IFERROR(((($O112-$M112)/(5))*MAX((YEAR(O$138)-YEAR($B139)),0)),0)</f>
        <v/>
      </c>
      <c r="P139" s="651">
        <f>IFERROR(((($O112-$M112)/(5))*MAX((YEAR(P$138)-YEAR($B139)),0)),0)</f>
        <v/>
      </c>
      <c r="R139" s="89" t="n"/>
      <c r="S139" s="108" t="n"/>
      <c r="T139" s="108" t="n"/>
      <c r="U139" s="108" t="n"/>
      <c r="V139" s="108" t="n"/>
      <c r="W139" s="318" t="n"/>
      <c r="X139" s="318" t="n"/>
      <c r="Y139" s="318" t="n"/>
      <c r="AA139" s="2" t="n"/>
      <c r="AB139" s="2" t="n"/>
      <c r="AC139" s="1061" t="n"/>
      <c r="AD139" s="2" t="n"/>
      <c r="AE139" s="318" t="n"/>
      <c r="AF139" s="318" t="n"/>
      <c r="AG139" s="318" t="n"/>
    </row>
    <row r="140" outlineLevel="1" ht="15" customHeight="1">
      <c r="A140" s="307">
        <f>A132</f>
        <v/>
      </c>
      <c r="B140" s="1180">
        <f>+B122</f>
        <v/>
      </c>
      <c r="C140" s="1180" t="n"/>
      <c r="D140" s="366" t="n"/>
      <c r="E140" s="1189">
        <f>(INDEX($M$112:$M$117,MATCH($A140,$A$112:$A$117,0))+L140)*E132</f>
        <v/>
      </c>
      <c r="F140" s="1104">
        <f>(INDEX($M$112:$M$117,MATCH($A140,$A$112:$A$117,0))+M140)*F132</f>
        <v/>
      </c>
      <c r="G140" s="1104">
        <f>(INDEX($M$112:$M$117,MATCH($A140,$A$112:$A$117,0))+N140)*G132</f>
        <v/>
      </c>
      <c r="H140" s="1104">
        <f>(INDEX($M$112:$M$117,MATCH($A140,$A$112:$A$117,0))+O140)*H132</f>
        <v/>
      </c>
      <c r="I140" s="1104">
        <f>(INDEX($M$112:$M$117,MATCH($A140,$A$112:$A$117,0))+P140)*I132</f>
        <v/>
      </c>
      <c r="K140" s="652" t="n"/>
      <c r="L140" s="653">
        <f>IFERROR(((($O113-$M113)/(5))*MAX((YEAR(L$138)-YEAR($B140)),0)),0)</f>
        <v/>
      </c>
      <c r="M140" s="654">
        <f>IFERROR(((($O113-$M113)/(5))*MAX((YEAR(M$138)-YEAR($B140)),0)),0)</f>
        <v/>
      </c>
      <c r="N140" s="654">
        <f>IFERROR(((($O113-$M113)/(5))*MAX((YEAR(N$138)-YEAR($B140)),0)),0)</f>
        <v/>
      </c>
      <c r="O140" s="654">
        <f>IFERROR(((($O113-$M113)/(5))*MAX((YEAR(O$138)-YEAR($B140)),0)),0)</f>
        <v/>
      </c>
      <c r="P140" s="654">
        <f>IFERROR(((($O113-$M113)/(5))*MAX((YEAR(P$138)-YEAR($B140)),0)),0)</f>
        <v/>
      </c>
      <c r="R140" s="89" t="n"/>
      <c r="S140" s="108" t="n"/>
      <c r="T140" s="108" t="n"/>
      <c r="U140" s="108" t="n"/>
      <c r="V140" s="108" t="n"/>
      <c r="W140" s="318" t="n"/>
      <c r="X140" s="318" t="n"/>
      <c r="Y140" s="318" t="n"/>
      <c r="AA140" s="2" t="n"/>
      <c r="AB140" s="2" t="n"/>
      <c r="AC140" s="1061" t="n"/>
      <c r="AD140" s="2" t="n"/>
      <c r="AE140" s="318" t="n"/>
      <c r="AF140" s="318" t="n"/>
      <c r="AG140" s="318" t="n"/>
    </row>
    <row r="141" outlineLevel="1" ht="15" customHeight="1">
      <c r="A141" s="307">
        <f>A133</f>
        <v/>
      </c>
      <c r="B141" s="1180">
        <f>+B123</f>
        <v/>
      </c>
      <c r="C141" s="1180" t="n"/>
      <c r="D141" s="366" t="n"/>
      <c r="E141" s="353" t="n"/>
      <c r="F141" s="1189">
        <f>(INDEX($M$112:$M$117,MATCH($A141,$A$112:$A$117,0))+M141)*F133</f>
        <v/>
      </c>
      <c r="G141" s="1104">
        <f>(INDEX($M$112:$M$117,MATCH($A141,$A$112:$A$117,0))+N141)*G133</f>
        <v/>
      </c>
      <c r="H141" s="1104">
        <f>(INDEX($M$112:$M$117,MATCH($A141,$A$112:$A$117,0))+O141)*H133</f>
        <v/>
      </c>
      <c r="I141" s="1104">
        <f>(INDEX($M$112:$M$117,MATCH($A141,$A$112:$A$117,0))+P141)*I133</f>
        <v/>
      </c>
      <c r="K141" s="652" t="n"/>
      <c r="L141" s="655" t="n"/>
      <c r="M141" s="653">
        <f>IFERROR(((($O114-$M114)/(5))*MAX((YEAR(M$138)-YEAR($B141)),0)),0)</f>
        <v/>
      </c>
      <c r="N141" s="654">
        <f>IFERROR(((($O114-$M114)/(5))*MAX((YEAR(N$138)-YEAR($B141)),0)),0)</f>
        <v/>
      </c>
      <c r="O141" s="654">
        <f>IFERROR(((($O114-$M114)/(5))*MAX((YEAR(O$138)-YEAR($B141)),0)),0)</f>
        <v/>
      </c>
      <c r="P141" s="654">
        <f>IFERROR(((($O114-$M114)/(5))*MAX((YEAR(P$138)-YEAR($B141)),0)),0)</f>
        <v/>
      </c>
      <c r="R141" s="89" t="n"/>
      <c r="S141" s="108" t="n"/>
      <c r="T141" s="108" t="n"/>
      <c r="U141" s="108" t="n"/>
      <c r="V141" s="108" t="n"/>
      <c r="W141" s="318" t="n"/>
      <c r="X141" s="318" t="n"/>
      <c r="Y141" s="318" t="n"/>
      <c r="AA141" s="2" t="n"/>
      <c r="AB141" s="2" t="n"/>
      <c r="AC141" s="1061" t="n"/>
      <c r="AD141" s="2" t="n"/>
      <c r="AE141" s="318" t="n"/>
      <c r="AF141" s="318" t="n"/>
      <c r="AG141" s="318" t="n"/>
    </row>
    <row r="142" outlineLevel="1" ht="15" customHeight="1">
      <c r="A142" s="307">
        <f>A134</f>
        <v/>
      </c>
      <c r="B142" s="1180">
        <f>+B124</f>
        <v/>
      </c>
      <c r="C142" s="1180" t="n"/>
      <c r="D142" s="366" t="n"/>
      <c r="E142" s="353" t="n"/>
      <c r="F142" s="353" t="n"/>
      <c r="G142" s="1189">
        <f>(INDEX($M$112:$M$117,MATCH($A142,$A$112:$A$117,0))+N142)*G134</f>
        <v/>
      </c>
      <c r="H142" s="1104">
        <f>(INDEX($M$112:$M$117,MATCH($A142,$A$112:$A$117,0))+O142)*H134</f>
        <v/>
      </c>
      <c r="I142" s="1104">
        <f>(INDEX($M$112:$M$117,MATCH($A142,$A$112:$A$117,0))+P142)*I134</f>
        <v/>
      </c>
      <c r="K142" s="652" t="n"/>
      <c r="L142" s="655" t="n"/>
      <c r="M142" s="655" t="n"/>
      <c r="N142" s="653">
        <f>IFERROR(((($O115-$M115)/(5))*MAX((YEAR(N$138)-YEAR($B142)),0)),0)</f>
        <v/>
      </c>
      <c r="O142" s="654">
        <f>IFERROR(((($O115-$M115)/(5))*MAX((YEAR(O$138)-YEAR($B142)),0)),0)</f>
        <v/>
      </c>
      <c r="P142" s="654">
        <f>IFERROR(((($O115-$M115)/(5))*MAX((YEAR(P$138)-YEAR($B142)),0)),0)</f>
        <v/>
      </c>
      <c r="R142" s="89" t="n"/>
      <c r="S142" s="108" t="n"/>
      <c r="T142" s="108" t="n"/>
      <c r="U142" s="108" t="n"/>
      <c r="V142" s="108" t="n"/>
      <c r="W142" s="318" t="n"/>
      <c r="X142" s="318" t="n"/>
      <c r="Y142" s="318" t="n"/>
      <c r="AA142" s="2" t="n"/>
      <c r="AB142" s="2" t="n"/>
      <c r="AC142" s="1061" t="n"/>
      <c r="AD142" s="2" t="n"/>
      <c r="AE142" s="318" t="n"/>
      <c r="AF142" s="318" t="n"/>
      <c r="AG142" s="318" t="n"/>
    </row>
    <row r="143" outlineLevel="1" ht="15" customHeight="1">
      <c r="A143" s="307">
        <f>A135</f>
        <v/>
      </c>
      <c r="B143" s="1180">
        <f>+B125</f>
        <v/>
      </c>
      <c r="C143" s="1180" t="n"/>
      <c r="D143" s="366" t="n"/>
      <c r="E143" s="353" t="n"/>
      <c r="F143" s="353" t="n"/>
      <c r="G143" s="353" t="n"/>
      <c r="H143" s="1189">
        <f>(INDEX($M$112:$M$117,MATCH($A143,$A$112:$A$117,0))+O143)*H135</f>
        <v/>
      </c>
      <c r="I143" s="1104">
        <f>(INDEX($M$112:$M$117,MATCH($A143,$A$112:$A$117,0))+P143)*I135</f>
        <v/>
      </c>
      <c r="K143" s="652" t="n"/>
      <c r="L143" s="655" t="n"/>
      <c r="M143" s="655" t="n"/>
      <c r="N143" s="655" t="n"/>
      <c r="O143" s="653">
        <f>IFERROR(((($O116-$M116)/(5))*MAX((YEAR(O$138)-YEAR($B143)),0)),0)</f>
        <v/>
      </c>
      <c r="P143" s="654">
        <f>IFERROR(((($O116-$M116)/(5))*MAX((YEAR(P$138)-YEAR($B143)),0)),0)</f>
        <v/>
      </c>
      <c r="R143" s="89" t="n"/>
      <c r="S143" s="108" t="n"/>
      <c r="T143" s="108" t="n"/>
      <c r="U143" s="108" t="n"/>
      <c r="V143" s="108" t="n"/>
      <c r="W143" s="318" t="n"/>
      <c r="X143" s="318" t="n"/>
      <c r="Y143" s="318" t="n"/>
      <c r="AA143" s="2" t="n"/>
      <c r="AB143" s="2" t="n"/>
      <c r="AC143" s="1061" t="n"/>
      <c r="AD143" s="2" t="n"/>
      <c r="AE143" s="318" t="n"/>
      <c r="AF143" s="318" t="n"/>
      <c r="AG143" s="318" t="n"/>
    </row>
    <row r="144" outlineLevel="1" ht="15" customHeight="1">
      <c r="A144" s="307">
        <f>A136</f>
        <v/>
      </c>
      <c r="B144" s="1180">
        <f>+B126</f>
        <v/>
      </c>
      <c r="C144" s="1180" t="n"/>
      <c r="D144" s="366" t="n"/>
      <c r="E144" s="353" t="n"/>
      <c r="F144" s="353" t="n"/>
      <c r="G144" s="353" t="n"/>
      <c r="H144" s="353" t="n"/>
      <c r="I144" s="1189">
        <f>(INDEX($M$112:$M$117,MATCH($A144,$A$112:$A$117,0))+P144)*I136</f>
        <v/>
      </c>
      <c r="K144" s="652" t="n"/>
      <c r="L144" s="655" t="n"/>
      <c r="M144" s="655" t="n"/>
      <c r="N144" s="655" t="n"/>
      <c r="O144" s="655" t="n"/>
      <c r="P144" s="653">
        <f>IFERROR(((($O117-$M117)/(5))*MAX((YEAR(P$138)-YEAR($B144)),0)),0)</f>
        <v/>
      </c>
      <c r="R144" s="89" t="n"/>
      <c r="S144" s="108" t="n"/>
      <c r="T144" s="108" t="n"/>
      <c r="U144" s="108" t="n"/>
      <c r="V144" s="108" t="n"/>
      <c r="W144" s="318" t="n"/>
      <c r="X144" s="318" t="n"/>
      <c r="Y144" s="318" t="n"/>
      <c r="AA144" s="2" t="n"/>
      <c r="AB144" s="2" t="n"/>
      <c r="AC144" s="1061" t="n"/>
      <c r="AD144" s="2" t="n"/>
      <c r="AE144" s="318" t="n"/>
      <c r="AF144" s="318" t="n"/>
      <c r="AG144" s="318" t="n"/>
    </row>
    <row r="145" ht="15" customHeight="1">
      <c r="A145" s="307" t="n"/>
      <c r="D145" s="1179" t="n"/>
      <c r="R145" s="89" t="n"/>
      <c r="S145" s="108" t="n"/>
      <c r="T145" s="108" t="n"/>
      <c r="U145" s="108" t="n"/>
      <c r="V145" s="108" t="n"/>
      <c r="W145" s="318" t="n"/>
      <c r="X145" s="318" t="n"/>
      <c r="Y145" s="318" t="n"/>
      <c r="AA145" s="2" t="n"/>
      <c r="AB145" s="2" t="n"/>
      <c r="AC145" s="1061" t="n"/>
      <c r="AD145" s="2" t="n"/>
      <c r="AE145" s="318" t="n"/>
      <c r="AF145" s="318" t="n"/>
      <c r="AG145" s="318" t="n"/>
    </row>
    <row r="146" outlineLevel="1" ht="15" customHeight="1">
      <c r="A146" s="307" t="n"/>
      <c r="B146" s="1190" t="inlineStr">
        <is>
          <t>EBIT schedule</t>
        </is>
      </c>
      <c r="C146" s="1180" t="n"/>
      <c r="D146" s="1180">
        <f>D138</f>
        <v/>
      </c>
      <c r="E146" s="1180">
        <f>E138</f>
        <v/>
      </c>
      <c r="F146" s="1180">
        <f>F138</f>
        <v/>
      </c>
      <c r="G146" s="1180">
        <f>G138</f>
        <v/>
      </c>
      <c r="H146" s="1180">
        <f>H138</f>
        <v/>
      </c>
      <c r="I146" s="1180">
        <f>I138</f>
        <v/>
      </c>
      <c r="K146" s="1180">
        <f>+D146</f>
        <v/>
      </c>
      <c r="L146" s="1180">
        <f>+E146</f>
        <v/>
      </c>
      <c r="M146" s="1180">
        <f>+F146</f>
        <v/>
      </c>
      <c r="N146" s="1180">
        <f>+G146</f>
        <v/>
      </c>
      <c r="O146" s="1180">
        <f>+H146</f>
        <v/>
      </c>
      <c r="P146" s="1180">
        <f>+I146</f>
        <v/>
      </c>
      <c r="R146" s="89" t="n"/>
      <c r="S146" s="108" t="n"/>
      <c r="T146" s="108" t="n"/>
      <c r="U146" s="108" t="n"/>
      <c r="V146" s="108" t="n"/>
      <c r="W146" s="318" t="n"/>
      <c r="X146" s="318" t="n"/>
      <c r="Y146" s="318" t="n"/>
      <c r="AA146" s="2" t="n"/>
      <c r="AB146" s="2" t="n"/>
      <c r="AC146" s="1061" t="n"/>
      <c r="AD146" s="2" t="n"/>
      <c r="AE146" s="318" t="n"/>
      <c r="AF146" s="318" t="n"/>
      <c r="AG146" s="318" t="n"/>
    </row>
    <row r="147" outlineLevel="1" ht="15" customHeight="1">
      <c r="A147" s="307">
        <f>A139</f>
        <v/>
      </c>
      <c r="B147" s="1180">
        <f>B139</f>
        <v/>
      </c>
      <c r="C147" s="1180" t="n"/>
      <c r="D147" s="1188">
        <f>(INDEX($Q$112:$Q$117,MATCH($A147,$A$112:$A$117,0))+K147)*D131</f>
        <v/>
      </c>
      <c r="E147" s="1100">
        <f>(INDEX($Q$112:$Q$117,MATCH($A147,$A$112:$A$117,0))+L147)*E131</f>
        <v/>
      </c>
      <c r="F147" s="1100">
        <f>(INDEX($Q$112:$Q$117,MATCH($A147,$A$112:$A$117,0))+M147)*F131</f>
        <v/>
      </c>
      <c r="G147" s="1100">
        <f>(INDEX($Q$112:$Q$117,MATCH($A147,$A$112:$A$117,0))+N147)*G131</f>
        <v/>
      </c>
      <c r="H147" s="1100">
        <f>(INDEX($Q$112:$Q$117,MATCH($A147,$A$112:$A$117,0))+O147)*H131</f>
        <v/>
      </c>
      <c r="I147" s="1100">
        <f>(INDEX($Q$112:$Q$117,MATCH($A147,$A$112:$A$117,0))+P147)*I131</f>
        <v/>
      </c>
      <c r="K147" s="650">
        <f>K139</f>
        <v/>
      </c>
      <c r="L147" s="651">
        <f>L139</f>
        <v/>
      </c>
      <c r="M147" s="651">
        <f>M139</f>
        <v/>
      </c>
      <c r="N147" s="651">
        <f>N139</f>
        <v/>
      </c>
      <c r="O147" s="651">
        <f>O139</f>
        <v/>
      </c>
      <c r="P147" s="651">
        <f>P139</f>
        <v/>
      </c>
      <c r="R147" s="89" t="n"/>
      <c r="S147" s="108" t="n"/>
      <c r="T147" s="108" t="n"/>
      <c r="U147" s="108" t="n"/>
      <c r="V147" s="108" t="n"/>
      <c r="W147" s="318" t="n"/>
      <c r="X147" s="318" t="n"/>
      <c r="Y147" s="318" t="n"/>
      <c r="AA147" s="2" t="n"/>
      <c r="AB147" s="2" t="n"/>
      <c r="AC147" s="1061" t="n"/>
      <c r="AD147" s="2" t="n"/>
      <c r="AE147" s="318" t="n"/>
      <c r="AF147" s="318" t="n"/>
      <c r="AG147" s="318" t="n"/>
    </row>
    <row r="148" outlineLevel="1" ht="15" customHeight="1">
      <c r="A148" s="307">
        <f>A140</f>
        <v/>
      </c>
      <c r="B148" s="1180">
        <f>B140</f>
        <v/>
      </c>
      <c r="C148" s="1180" t="n"/>
      <c r="D148" s="366" t="n"/>
      <c r="E148" s="1189">
        <f>(INDEX($Q$112:$Q$117,MATCH($A148,$A$112:$A$117,0))+L148)*E132</f>
        <v/>
      </c>
      <c r="F148" s="1104">
        <f>(INDEX($Q$112:$Q$117,MATCH($A148,$A$112:$A$117,0))+M148)*F132</f>
        <v/>
      </c>
      <c r="G148" s="1104">
        <f>(INDEX($Q$112:$Q$117,MATCH($A148,$A$112:$A$117,0))+N148)*G132</f>
        <v/>
      </c>
      <c r="H148" s="1104">
        <f>(INDEX($Q$112:$Q$117,MATCH($A148,$A$112:$A$117,0))+O148)*H132</f>
        <v/>
      </c>
      <c r="I148" s="1104">
        <f>(INDEX($Q$112:$Q$117,MATCH($A148,$A$112:$A$117,0))+P148)*I132</f>
        <v/>
      </c>
      <c r="K148" s="652" t="n"/>
      <c r="L148" s="653">
        <f>L140</f>
        <v/>
      </c>
      <c r="M148" s="654">
        <f>M140</f>
        <v/>
      </c>
      <c r="N148" s="654">
        <f>N140</f>
        <v/>
      </c>
      <c r="O148" s="654">
        <f>O140</f>
        <v/>
      </c>
      <c r="P148" s="654">
        <f>P140</f>
        <v/>
      </c>
      <c r="R148" s="89" t="n"/>
      <c r="S148" s="108" t="n"/>
      <c r="T148" s="108" t="n"/>
      <c r="U148" s="108" t="n"/>
      <c r="V148" s="108" t="n"/>
      <c r="W148" s="318" t="n"/>
      <c r="X148" s="318" t="n"/>
      <c r="Y148" s="318" t="n"/>
      <c r="AA148" s="2" t="n"/>
      <c r="AB148" s="2" t="n"/>
      <c r="AC148" s="1061" t="n"/>
      <c r="AD148" s="2" t="n"/>
      <c r="AE148" s="318" t="n"/>
      <c r="AF148" s="318" t="n"/>
      <c r="AG148" s="318" t="n"/>
    </row>
    <row r="149" outlineLevel="1" ht="15" customHeight="1">
      <c r="A149" s="307">
        <f>A141</f>
        <v/>
      </c>
      <c r="B149" s="1180">
        <f>B141</f>
        <v/>
      </c>
      <c r="C149" s="1180" t="n"/>
      <c r="D149" s="366" t="n"/>
      <c r="E149" s="353" t="n"/>
      <c r="F149" s="1189">
        <f>(INDEX($Q$112:$Q$117,MATCH($A149,$A$112:$A$117,0))+M149)*F133</f>
        <v/>
      </c>
      <c r="G149" s="1104">
        <f>(INDEX($Q$112:$Q$117,MATCH($A149,$A$112:$A$117,0))+N149)*G133</f>
        <v/>
      </c>
      <c r="H149" s="1104">
        <f>(INDEX($Q$112:$Q$117,MATCH($A149,$A$112:$A$117,0))+O149)*H133</f>
        <v/>
      </c>
      <c r="I149" s="1104">
        <f>(INDEX($Q$112:$Q$117,MATCH($A149,$A$112:$A$117,0))+P149)*I133</f>
        <v/>
      </c>
      <c r="K149" s="652" t="n"/>
      <c r="L149" s="655" t="n"/>
      <c r="M149" s="653">
        <f>M141</f>
        <v/>
      </c>
      <c r="N149" s="654">
        <f>N141</f>
        <v/>
      </c>
      <c r="O149" s="654">
        <f>O141</f>
        <v/>
      </c>
      <c r="P149" s="654">
        <f>P141</f>
        <v/>
      </c>
      <c r="R149" s="89" t="n"/>
      <c r="S149" s="108" t="n"/>
      <c r="T149" s="108" t="n"/>
      <c r="U149" s="108" t="n"/>
      <c r="V149" s="108" t="n"/>
      <c r="W149" s="318" t="n"/>
      <c r="X149" s="318" t="n"/>
      <c r="Y149" s="318" t="n"/>
      <c r="AA149" s="2" t="n"/>
      <c r="AB149" s="2" t="n"/>
      <c r="AC149" s="1061" t="n"/>
      <c r="AD149" s="2" t="n"/>
      <c r="AE149" s="318" t="n"/>
      <c r="AF149" s="318" t="n"/>
      <c r="AG149" s="318" t="n"/>
    </row>
    <row r="150" outlineLevel="1" ht="15" customHeight="1">
      <c r="A150" s="307">
        <f>A142</f>
        <v/>
      </c>
      <c r="B150" s="1180">
        <f>B142</f>
        <v/>
      </c>
      <c r="C150" s="1180" t="n"/>
      <c r="D150" s="366" t="n"/>
      <c r="E150" s="353" t="n"/>
      <c r="F150" s="353" t="n"/>
      <c r="G150" s="1189">
        <f>(INDEX($Q$112:$Q$117,MATCH($A150,$A$112:$A$117,0))+N150)*G134</f>
        <v/>
      </c>
      <c r="H150" s="1104">
        <f>(INDEX($Q$112:$Q$117,MATCH($A150,$A$112:$A$117,0))+O150)*H134</f>
        <v/>
      </c>
      <c r="I150" s="1104">
        <f>(INDEX($Q$112:$Q$117,MATCH($A150,$A$112:$A$117,0))+P150)*I134</f>
        <v/>
      </c>
      <c r="K150" s="652" t="n"/>
      <c r="L150" s="655" t="n"/>
      <c r="M150" s="655" t="n"/>
      <c r="N150" s="653">
        <f>N142</f>
        <v/>
      </c>
      <c r="O150" s="654">
        <f>O142</f>
        <v/>
      </c>
      <c r="P150" s="654">
        <f>P142</f>
        <v/>
      </c>
      <c r="R150" s="89" t="n"/>
      <c r="S150" s="108" t="n"/>
      <c r="T150" s="108" t="n"/>
      <c r="U150" s="108" t="n"/>
      <c r="V150" s="108" t="n"/>
      <c r="W150" s="318" t="n"/>
      <c r="X150" s="318" t="n"/>
      <c r="Y150" s="318" t="n"/>
      <c r="AA150" s="2" t="n"/>
      <c r="AB150" s="2" t="n"/>
      <c r="AC150" s="1061" t="n"/>
      <c r="AD150" s="2" t="n"/>
      <c r="AE150" s="318" t="n"/>
      <c r="AF150" s="318" t="n"/>
      <c r="AG150" s="318" t="n"/>
    </row>
    <row r="151" outlineLevel="1" ht="15" customHeight="1">
      <c r="A151" s="307">
        <f>A143</f>
        <v/>
      </c>
      <c r="B151" s="1180">
        <f>B143</f>
        <v/>
      </c>
      <c r="C151" s="1180" t="n"/>
      <c r="D151" s="366" t="n"/>
      <c r="E151" s="353" t="n"/>
      <c r="F151" s="353" t="n"/>
      <c r="G151" s="353" t="n"/>
      <c r="H151" s="1189">
        <f>(INDEX($Q$112:$Q$117,MATCH($A151,$A$112:$A$117,0))+O151)*H135</f>
        <v/>
      </c>
      <c r="I151" s="1104">
        <f>(INDEX($Q$112:$Q$117,MATCH($A151,$A$112:$A$117,0))+P151)*I135</f>
        <v/>
      </c>
      <c r="K151" s="652" t="n"/>
      <c r="L151" s="655" t="n"/>
      <c r="M151" s="655" t="n"/>
      <c r="N151" s="655" t="n"/>
      <c r="O151" s="653">
        <f>O143</f>
        <v/>
      </c>
      <c r="P151" s="654">
        <f>P143</f>
        <v/>
      </c>
      <c r="R151" s="89" t="n"/>
      <c r="S151" s="108" t="n"/>
      <c r="T151" s="108" t="n"/>
      <c r="U151" s="108" t="n"/>
      <c r="V151" s="108" t="n"/>
      <c r="W151" s="318" t="n"/>
      <c r="X151" s="318" t="n"/>
      <c r="Y151" s="318" t="n"/>
      <c r="AA151" s="2" t="n"/>
      <c r="AB151" s="2" t="n"/>
      <c r="AC151" s="1061" t="n"/>
      <c r="AD151" s="2" t="n"/>
      <c r="AE151" s="318" t="n"/>
      <c r="AF151" s="318" t="n"/>
      <c r="AG151" s="318" t="n"/>
    </row>
    <row r="152" outlineLevel="1" ht="15" customHeight="1">
      <c r="A152" s="307">
        <f>A144</f>
        <v/>
      </c>
      <c r="B152" s="1180">
        <f>B144</f>
        <v/>
      </c>
      <c r="C152" s="1180" t="n"/>
      <c r="D152" s="366" t="n"/>
      <c r="E152" s="353" t="n"/>
      <c r="F152" s="353" t="n"/>
      <c r="G152" s="353" t="n"/>
      <c r="H152" s="353" t="n"/>
      <c r="I152" s="1189">
        <f>(INDEX($Q$112:$Q$117,MATCH($A152,$A$112:$A$117,0))+P152)*I136</f>
        <v/>
      </c>
      <c r="K152" s="652" t="n"/>
      <c r="L152" s="655" t="n"/>
      <c r="M152" s="655" t="n"/>
      <c r="N152" s="655" t="n"/>
      <c r="O152" s="655" t="n"/>
      <c r="P152" s="653">
        <f>P144</f>
        <v/>
      </c>
      <c r="R152" s="89" t="n"/>
      <c r="S152" s="108" t="n"/>
      <c r="T152" s="108" t="n"/>
      <c r="U152" s="108" t="n"/>
      <c r="V152" s="108" t="n"/>
      <c r="W152" s="318" t="n"/>
      <c r="X152" s="318" t="n"/>
      <c r="Y152" s="318" t="n"/>
      <c r="AA152" s="2" t="n"/>
      <c r="AB152" s="2" t="n"/>
      <c r="AC152" s="1061" t="n"/>
      <c r="AD152" s="2" t="n"/>
      <c r="AE152" s="318" t="n"/>
      <c r="AF152" s="318" t="n"/>
      <c r="AG152" s="318" t="n"/>
    </row>
    <row r="153" ht="15" customHeight="1">
      <c r="A153" s="307" t="n"/>
      <c r="D153" s="1179" t="n"/>
      <c r="R153" s="89" t="n"/>
      <c r="S153" s="108" t="n"/>
      <c r="T153" s="108" t="n"/>
      <c r="U153" s="108" t="n"/>
      <c r="V153" s="108" t="n"/>
      <c r="W153" s="318" t="n"/>
      <c r="X153" s="318" t="n"/>
      <c r="Y153" s="318" t="n"/>
      <c r="AA153" s="2" t="n"/>
      <c r="AB153" s="2" t="n"/>
      <c r="AC153" s="1061" t="n"/>
      <c r="AD153" s="2" t="n"/>
      <c r="AE153" s="318" t="n"/>
      <c r="AF153" s="318" t="n"/>
      <c r="AG153" s="318" t="n"/>
    </row>
    <row r="154" ht="15" customHeight="1">
      <c r="A154" s="307" t="inlineStr">
        <is>
          <t>x</t>
        </is>
      </c>
      <c r="B154" s="106">
        <f>"P&amp;L("&amp;$L$14&amp;")"</f>
        <v/>
      </c>
      <c r="C154" s="106" t="n"/>
      <c r="D154" s="106" t="n"/>
      <c r="E154" s="107" t="n"/>
      <c r="F154" s="107" t="n"/>
      <c r="G154" s="107" t="n"/>
      <c r="H154" s="107" t="n"/>
      <c r="I154" s="107" t="n"/>
      <c r="J154" s="107" t="n"/>
      <c r="K154" s="107" t="n"/>
      <c r="L154" s="107" t="n"/>
      <c r="M154" s="107" t="n"/>
      <c r="N154" s="107" t="n"/>
      <c r="O154" s="289" t="n"/>
      <c r="P154" s="1150" t="n"/>
    </row>
    <row r="155" ht="15" customHeight="1">
      <c r="A155" s="307" t="n"/>
      <c r="I155" s="562">
        <f>+$F$40</f>
        <v/>
      </c>
      <c r="J155" s="84">
        <f>+I155+1</f>
        <v/>
      </c>
      <c r="K155" s="84">
        <f>J155+1</f>
        <v/>
      </c>
      <c r="L155" s="84">
        <f>K155+1</f>
        <v/>
      </c>
      <c r="M155" s="84">
        <f>L155+1</f>
        <v/>
      </c>
      <c r="N155" s="84">
        <f>M155+1</f>
        <v/>
      </c>
      <c r="P155" s="84" t="n"/>
    </row>
    <row r="156" ht="15" customHeight="1">
      <c r="A156" s="307" t="n"/>
      <c r="B156" s="26" t="n"/>
      <c r="I156" s="1192">
        <f>+$F$38</f>
        <v/>
      </c>
      <c r="J156" s="14" t="n"/>
      <c r="K156" s="14" t="n"/>
      <c r="L156" s="14" t="n"/>
      <c r="M156" s="14" t="n"/>
      <c r="N156" s="14" t="n"/>
      <c r="P156" s="14" t="n"/>
    </row>
    <row r="157" ht="15" customHeight="1">
      <c r="A157" s="307" t="n"/>
      <c r="B157" s="68">
        <f>"YE, "&amp;TEXT($F$37,"mmm-dd")</f>
        <v/>
      </c>
      <c r="C157" s="68" t="n"/>
      <c r="D157" s="68" t="n"/>
      <c r="E157" s="1193">
        <f>EOMONTH(F157,-12)</f>
        <v/>
      </c>
      <c r="F157" s="1193">
        <f>EOMONTH(G157,-12)</f>
        <v/>
      </c>
      <c r="G157" s="1194">
        <f>+F37</f>
        <v/>
      </c>
      <c r="H157" s="1194">
        <f>EOMONTH(G157,12)</f>
        <v/>
      </c>
      <c r="I157" s="1195">
        <f>H157</f>
        <v/>
      </c>
      <c r="J157" s="1193">
        <f>EOMONTH(I157,12)</f>
        <v/>
      </c>
      <c r="K157" s="1193">
        <f>EOMONTH(J157,12)</f>
        <v/>
      </c>
      <c r="L157" s="1193">
        <f>EOMONTH(K157,12)</f>
        <v/>
      </c>
      <c r="M157" s="1193">
        <f>EOMONTH(L157,12)</f>
        <v/>
      </c>
      <c r="N157" s="1193">
        <f>EOMONTH(M157,12)</f>
        <v/>
      </c>
    </row>
    <row r="158" ht="15" customHeight="1">
      <c r="A158" s="307" t="n"/>
      <c r="I158" s="565" t="n"/>
    </row>
    <row r="159" ht="15" customHeight="1">
      <c r="A159" s="307" t="n"/>
      <c r="B159" s="1" t="inlineStr">
        <is>
          <t>Revenue: organic</t>
        </is>
      </c>
      <c r="E159" s="1085">
        <f>'Consol P&amp;L'!P15/10^6</f>
        <v/>
      </c>
      <c r="F159" s="1085">
        <f>'Consol P&amp;L'!AC15/10^6</f>
        <v/>
      </c>
      <c r="G159" s="1085">
        <f>'Consol P&amp;L'!AP15/10^6</f>
        <v/>
      </c>
      <c r="H159" s="1196">
        <f>'Dec-25 LTM_P&amp;L'!J12/10^6</f>
        <v/>
      </c>
      <c r="I159" s="1197">
        <f>+H159*I155</f>
        <v/>
      </c>
      <c r="J159" s="1198">
        <f>+H159*(1+J160)</f>
        <v/>
      </c>
      <c r="K159" s="1198">
        <f>+J159*(1+K160)</f>
        <v/>
      </c>
      <c r="L159" s="1198">
        <f>+K159*(1+L160)</f>
        <v/>
      </c>
      <c r="M159" s="1198">
        <f>+L159*(1+M160)</f>
        <v/>
      </c>
      <c r="N159" s="1198">
        <f>+M159*(1+N160)</f>
        <v/>
      </c>
    </row>
    <row r="160" ht="15" customHeight="1">
      <c r="A160" s="307" t="n"/>
      <c r="B160" s="173" t="inlineStr">
        <is>
          <t>growth</t>
        </is>
      </c>
      <c r="F160" s="1199">
        <f>F159/E159-1</f>
        <v/>
      </c>
      <c r="G160" s="1199">
        <f>G159/F159-1</f>
        <v/>
      </c>
      <c r="H160" s="1199">
        <f>H159/G159-1</f>
        <v/>
      </c>
      <c r="I160" s="565" t="n"/>
      <c r="J160" s="1200">
        <f>Cases!M17</f>
        <v/>
      </c>
      <c r="K160" s="1200">
        <f>Cases!N17</f>
        <v/>
      </c>
      <c r="L160" s="1200">
        <f>Cases!O17</f>
        <v/>
      </c>
      <c r="M160" s="1200">
        <f>Cases!P17</f>
        <v/>
      </c>
      <c r="N160" s="1200">
        <f>Cases!Q17</f>
        <v/>
      </c>
    </row>
    <row r="161" ht="15" customHeight="1">
      <c r="A161" s="307" t="n"/>
      <c r="B161" s="1" t="inlineStr">
        <is>
          <t>Revenue: M&amp;A</t>
        </is>
      </c>
      <c r="E161" s="353" t="n"/>
      <c r="F161" s="353" t="n"/>
      <c r="G161" s="353" t="n"/>
      <c r="H161" s="1069">
        <f>+SUM(D131:D136)</f>
        <v/>
      </c>
      <c r="I161" s="1197">
        <f>+H161*I155</f>
        <v/>
      </c>
      <c r="J161" s="1198">
        <f>+SUM(E131:E136)</f>
        <v/>
      </c>
      <c r="K161" s="1198">
        <f>+SUM(F131:F136)</f>
        <v/>
      </c>
      <c r="L161" s="1198">
        <f>+SUM(G131:G136)</f>
        <v/>
      </c>
      <c r="M161" s="1198">
        <f>+SUM(H131:H136)</f>
        <v/>
      </c>
      <c r="N161" s="1198">
        <f>+SUM(I131:I136)</f>
        <v/>
      </c>
    </row>
    <row r="162" ht="15" customHeight="1">
      <c r="A162" s="307" t="n"/>
      <c r="B162" s="134" t="inlineStr">
        <is>
          <t>Pro forma revenue</t>
        </is>
      </c>
      <c r="C162" s="134" t="n"/>
      <c r="D162" s="134" t="n"/>
      <c r="E162" s="1201">
        <f>+E159+E161</f>
        <v/>
      </c>
      <c r="F162" s="1201">
        <f>+F159+F161</f>
        <v/>
      </c>
      <c r="G162" s="1201">
        <f>+G159+G161</f>
        <v/>
      </c>
      <c r="H162" s="1201">
        <f>+H159+H161</f>
        <v/>
      </c>
      <c r="I162" s="1202">
        <f>+I159+I161</f>
        <v/>
      </c>
      <c r="J162" s="1201">
        <f>+J159+J161</f>
        <v/>
      </c>
      <c r="K162" s="1201">
        <f>+K159+K161</f>
        <v/>
      </c>
      <c r="L162" s="1201">
        <f>+L159+L161</f>
        <v/>
      </c>
      <c r="M162" s="1201">
        <f>+M159+M161</f>
        <v/>
      </c>
      <c r="N162" s="1201">
        <f>+N159+N161</f>
        <v/>
      </c>
    </row>
    <row r="163" ht="15" customHeight="1">
      <c r="A163" s="307" t="n"/>
      <c r="B163" s="173" t="inlineStr">
        <is>
          <t>growth</t>
        </is>
      </c>
      <c r="C163" s="30" t="n"/>
      <c r="D163" s="30" t="n"/>
      <c r="F163" s="1199">
        <f>F162/E162-1</f>
        <v/>
      </c>
      <c r="G163" s="1199">
        <f>G162/F162-1</f>
        <v/>
      </c>
      <c r="H163" s="1199">
        <f>H162/G162-1</f>
        <v/>
      </c>
      <c r="I163" s="1203" t="n"/>
      <c r="J163" s="1199">
        <f>J162/H162-1</f>
        <v/>
      </c>
      <c r="K163" s="1199">
        <f>K162/J162-1</f>
        <v/>
      </c>
      <c r="L163" s="1199">
        <f>L162/K162-1</f>
        <v/>
      </c>
      <c r="M163" s="1199">
        <f>M162/L162-1</f>
        <v/>
      </c>
      <c r="N163" s="1199">
        <f>N162/M162-1</f>
        <v/>
      </c>
    </row>
    <row r="164" ht="15" customHeight="1">
      <c r="A164" s="307" t="n"/>
      <c r="H164" s="1198" t="n"/>
      <c r="I164" s="1197" t="n"/>
      <c r="J164" s="1198" t="n"/>
      <c r="K164" s="1198" t="n"/>
      <c r="L164" s="1198" t="n"/>
      <c r="M164" s="1198" t="n"/>
      <c r="N164" s="1198" t="n"/>
    </row>
    <row r="165" outlineLevel="1" ht="15" customHeight="1">
      <c r="A165" s="307" t="n"/>
      <c r="B165" s="1" t="inlineStr">
        <is>
          <t>COGS: organic</t>
        </is>
      </c>
      <c r="E165" s="1198">
        <f>-E159+E168</f>
        <v/>
      </c>
      <c r="F165" s="1198">
        <f>-F159+F168</f>
        <v/>
      </c>
      <c r="G165" s="1198">
        <f>-G159+G168</f>
        <v/>
      </c>
      <c r="H165" s="1198">
        <f>-H159+H168</f>
        <v/>
      </c>
      <c r="I165" s="1197">
        <f>-I159+I168</f>
        <v/>
      </c>
      <c r="J165" s="1198">
        <f>-J159+J168</f>
        <v/>
      </c>
      <c r="K165" s="1198">
        <f>-K159+K168</f>
        <v/>
      </c>
      <c r="L165" s="1198">
        <f>-L159+L168</f>
        <v/>
      </c>
      <c r="M165" s="1198">
        <f>-M159+M168</f>
        <v/>
      </c>
      <c r="N165" s="1198">
        <f>-N159+N168</f>
        <v/>
      </c>
    </row>
    <row r="166" outlineLevel="1" ht="12" customHeight="1">
      <c r="A166" s="307" t="n"/>
      <c r="B166" s="1" t="inlineStr">
        <is>
          <t>COGS: M&amp;A</t>
        </is>
      </c>
      <c r="E166" s="353" t="n"/>
      <c r="F166" s="353" t="n"/>
      <c r="G166" s="353" t="n"/>
      <c r="H166" s="1198">
        <f>-H161+H170</f>
        <v/>
      </c>
      <c r="I166" s="1197">
        <f>-I161+I170</f>
        <v/>
      </c>
      <c r="J166" s="1198">
        <f>-J161+J170</f>
        <v/>
      </c>
      <c r="K166" s="1198">
        <f>-K161+K170</f>
        <v/>
      </c>
      <c r="L166" s="1198">
        <f>-L161+L170</f>
        <v/>
      </c>
      <c r="M166" s="1198">
        <f>-M161+M170</f>
        <v/>
      </c>
      <c r="N166" s="1198">
        <f>-N161+N170</f>
        <v/>
      </c>
    </row>
    <row r="167" outlineLevel="1" ht="15" customHeight="1">
      <c r="A167" s="307" t="n"/>
      <c r="H167" s="1198" t="n"/>
      <c r="I167" s="1197" t="n"/>
      <c r="J167" s="1198" t="n"/>
      <c r="K167" s="1198" t="n"/>
      <c r="L167" s="1198" t="n"/>
      <c r="M167" s="1198" t="n"/>
      <c r="N167" s="1198" t="n"/>
    </row>
    <row r="168" ht="15" customHeight="1">
      <c r="A168" s="307" t="n"/>
      <c r="B168" s="1" t="inlineStr">
        <is>
          <t>Gross profit: organic</t>
        </is>
      </c>
      <c r="E168" s="1085">
        <f>'Consol P&amp;L'!P38/10^6</f>
        <v/>
      </c>
      <c r="F168" s="1085">
        <f>'Consol P&amp;L'!AC38/10^6</f>
        <v/>
      </c>
      <c r="G168" s="1085">
        <f>'Consol P&amp;L'!AP38/10^6</f>
        <v/>
      </c>
      <c r="H168" s="1196">
        <f>'Dec-25 LTM_P&amp;L'!J20/10^6</f>
        <v/>
      </c>
      <c r="I168" s="1197">
        <f>+H168*$I$155</f>
        <v/>
      </c>
      <c r="J168" s="1198">
        <f>+J159*J169</f>
        <v/>
      </c>
      <c r="K168" s="1198">
        <f>+K159*K169</f>
        <v/>
      </c>
      <c r="L168" s="1198">
        <f>+L159*L169</f>
        <v/>
      </c>
      <c r="M168" s="1198">
        <f>+M159*M169</f>
        <v/>
      </c>
      <c r="N168" s="1198">
        <f>+N159*N169</f>
        <v/>
      </c>
    </row>
    <row r="169" ht="15" customHeight="1">
      <c r="A169" s="307" t="n"/>
      <c r="B169" s="173" t="inlineStr">
        <is>
          <t>margin</t>
        </is>
      </c>
      <c r="E169" s="374">
        <f>+E168/E159</f>
        <v/>
      </c>
      <c r="F169" s="374">
        <f>+F168/F159</f>
        <v/>
      </c>
      <c r="G169" s="374">
        <f>+G168/G159</f>
        <v/>
      </c>
      <c r="H169" s="374">
        <f>+H168/H159</f>
        <v/>
      </c>
      <c r="I169" s="569">
        <f>+I168/I159</f>
        <v/>
      </c>
      <c r="J169" s="1200">
        <f>Cases!M50</f>
        <v/>
      </c>
      <c r="K169" s="1200">
        <f>Cases!N50</f>
        <v/>
      </c>
      <c r="L169" s="1200">
        <f>Cases!O50</f>
        <v/>
      </c>
      <c r="M169" s="1200">
        <f>Cases!P50</f>
        <v/>
      </c>
      <c r="N169" s="1200">
        <f>Cases!Q50</f>
        <v/>
      </c>
    </row>
    <row r="170" ht="15" customHeight="1">
      <c r="A170" s="307" t="n"/>
      <c r="B170" s="1" t="inlineStr">
        <is>
          <t>Gross profit: M&amp;A</t>
        </is>
      </c>
      <c r="E170" s="353" t="n"/>
      <c r="F170" s="353" t="n"/>
      <c r="G170" s="353" t="n"/>
      <c r="H170" s="1198">
        <f>+H161*$P$118</f>
        <v/>
      </c>
      <c r="I170" s="1197">
        <f>+I155*H170</f>
        <v/>
      </c>
      <c r="J170" s="1198">
        <f>+J161*$P$118</f>
        <v/>
      </c>
      <c r="K170" s="1198">
        <f>+K161*$P$118</f>
        <v/>
      </c>
      <c r="L170" s="1198">
        <f>+L161*$P$118</f>
        <v/>
      </c>
      <c r="M170" s="1198">
        <f>+M161*$P$118</f>
        <v/>
      </c>
      <c r="N170" s="1198">
        <f>+N161*$P$118</f>
        <v/>
      </c>
    </row>
    <row r="171" ht="15" customHeight="1">
      <c r="A171" s="307" t="n"/>
      <c r="B171" s="134" t="inlineStr">
        <is>
          <t>Pro forma gross profit</t>
        </is>
      </c>
      <c r="C171" s="134" t="n"/>
      <c r="D171" s="134" t="n"/>
      <c r="E171" s="1201">
        <f>+E168+E170</f>
        <v/>
      </c>
      <c r="F171" s="1201">
        <f>+F168+F170</f>
        <v/>
      </c>
      <c r="G171" s="1201">
        <f>+G168+G170</f>
        <v/>
      </c>
      <c r="H171" s="1201">
        <f>+H168+H170</f>
        <v/>
      </c>
      <c r="I171" s="1202">
        <f>+I168+I170</f>
        <v/>
      </c>
      <c r="J171" s="1201">
        <f>+J168+J170</f>
        <v/>
      </c>
      <c r="K171" s="1201">
        <f>+K168+K170</f>
        <v/>
      </c>
      <c r="L171" s="1201">
        <f>+L168+L170</f>
        <v/>
      </c>
      <c r="M171" s="1201">
        <f>+M168+M170</f>
        <v/>
      </c>
      <c r="N171" s="1201">
        <f>+N168+N170</f>
        <v/>
      </c>
    </row>
    <row r="172" ht="15" customHeight="1">
      <c r="A172" s="307" t="n"/>
      <c r="B172" s="30" t="inlineStr">
        <is>
          <t>margin</t>
        </is>
      </c>
      <c r="C172" s="30" t="n"/>
      <c r="D172" s="30" t="n"/>
      <c r="E172" s="1199">
        <f>IFERROR(E171/E$162,"NM")</f>
        <v/>
      </c>
      <c r="F172" s="1199">
        <f>IFERROR(F171/F$162,"NM")</f>
        <v/>
      </c>
      <c r="G172" s="1199">
        <f>IFERROR(G171/G$162,"NM")</f>
        <v/>
      </c>
      <c r="H172" s="1199">
        <f>IFERROR(H171/H$162,"NM")</f>
        <v/>
      </c>
      <c r="I172" s="1204">
        <f>IFERROR(I171/I$162,"NM")</f>
        <v/>
      </c>
      <c r="J172" s="1199">
        <f>IFERROR(J171/J$162,"NM")</f>
        <v/>
      </c>
      <c r="K172" s="1199">
        <f>IFERROR(K171/K$162,"NM")</f>
        <v/>
      </c>
      <c r="L172" s="1199">
        <f>IFERROR(L171/L$162,"NM")</f>
        <v/>
      </c>
      <c r="M172" s="1199">
        <f>IFERROR(M171/M$162,"NM")</f>
        <v/>
      </c>
      <c r="N172" s="1199">
        <f>IFERROR(N171/N$162,"NM")</f>
        <v/>
      </c>
    </row>
    <row r="173" outlineLevel="1" ht="15" customHeight="1">
      <c r="A173" s="307" t="n"/>
      <c r="B173" s="30" t="n"/>
      <c r="C173" s="30" t="n"/>
      <c r="D173" s="30" t="n"/>
      <c r="E173" s="1199" t="n"/>
      <c r="F173" s="1199" t="n"/>
      <c r="G173" s="1199" t="n"/>
      <c r="H173" s="1199" t="n"/>
      <c r="I173" s="1203" t="n"/>
      <c r="J173" s="1199" t="n"/>
      <c r="K173" s="1199" t="n"/>
      <c r="L173" s="1199" t="n"/>
      <c r="M173" s="1199" t="n"/>
      <c r="N173" s="1199" t="n"/>
    </row>
    <row r="174" outlineLevel="1" ht="15" customHeight="1">
      <c r="A174" s="307" t="n"/>
      <c r="B174" s="1" t="inlineStr">
        <is>
          <t>Overheads: organic</t>
        </is>
      </c>
      <c r="E174" s="1198">
        <f>+E178-E168</f>
        <v/>
      </c>
      <c r="F174" s="1198">
        <f>+F178-F168</f>
        <v/>
      </c>
      <c r="G174" s="1198">
        <f>+G178-G168</f>
        <v/>
      </c>
      <c r="H174" s="1198">
        <f>+H178-H168</f>
        <v/>
      </c>
      <c r="I174" s="1197">
        <f>+I178-I168</f>
        <v/>
      </c>
      <c r="J174" s="1198">
        <f>+J178-J168-J175</f>
        <v/>
      </c>
      <c r="K174" s="1198">
        <f>+K178-K168-K175</f>
        <v/>
      </c>
      <c r="L174" s="1198">
        <f>+L178-L168-L175</f>
        <v/>
      </c>
      <c r="M174" s="1198">
        <f>+M178-M168-M175</f>
        <v/>
      </c>
      <c r="N174" s="1198">
        <f>+N178-N168-N175</f>
        <v/>
      </c>
      <c r="P174" s="1062" t="n"/>
    </row>
    <row r="175" outlineLevel="1" ht="15" customHeight="1">
      <c r="A175" s="307" t="n"/>
      <c r="B175" s="1" t="inlineStr">
        <is>
          <t>Overheads: central team</t>
        </is>
      </c>
      <c r="E175" s="1198" t="n"/>
      <c r="F175" s="1198" t="n"/>
      <c r="G175" s="1198" t="n"/>
      <c r="H175" s="1198" t="n"/>
      <c r="I175" s="1197" t="n"/>
      <c r="J175" s="1196">
        <f>IF($H$7=1,Cases!E82,0)</f>
        <v/>
      </c>
      <c r="K175" s="1196">
        <f>IF($H$7=1,Cases!F82,0)</f>
        <v/>
      </c>
      <c r="L175" s="1196">
        <f>IF($H$7=1,Cases!G82,0)</f>
        <v/>
      </c>
      <c r="M175" s="1196">
        <f>IF($H$7=1,Cases!H82,0)</f>
        <v/>
      </c>
      <c r="N175" s="1196">
        <f>IF($H$7=1,Cases!I82,0)</f>
        <v/>
      </c>
      <c r="P175" s="1205" t="n"/>
    </row>
    <row r="176" outlineLevel="1" ht="15" customHeight="1">
      <c r="A176" s="307" t="n"/>
      <c r="B176" s="1" t="inlineStr">
        <is>
          <t>Overheads: M&amp;A</t>
        </is>
      </c>
      <c r="E176" s="353" t="n"/>
      <c r="F176" s="353" t="n"/>
      <c r="G176" s="353" t="n"/>
      <c r="H176" s="1062">
        <f>+H180-H170</f>
        <v/>
      </c>
      <c r="I176" s="1206">
        <f>+I180-I170</f>
        <v/>
      </c>
      <c r="J176" s="1062">
        <f>+J180-J170</f>
        <v/>
      </c>
      <c r="K176" s="1062">
        <f>+K180-K170</f>
        <v/>
      </c>
      <c r="L176" s="1062">
        <f>+L180-L170</f>
        <v/>
      </c>
      <c r="M176" s="1062">
        <f>+M180-M170</f>
        <v/>
      </c>
      <c r="N176" s="1062">
        <f>+N180-N170</f>
        <v/>
      </c>
    </row>
    <row r="177" ht="15" customHeight="1">
      <c r="A177" s="307" t="n"/>
      <c r="E177" s="1062" t="n"/>
      <c r="F177" s="1062" t="n"/>
      <c r="G177" s="1062" t="n"/>
      <c r="H177" s="1062" t="n"/>
      <c r="I177" s="1206" t="n"/>
      <c r="J177" s="1062" t="n"/>
      <c r="K177" s="1062" t="n"/>
      <c r="L177" s="1062" t="n"/>
      <c r="M177" s="1062" t="n"/>
      <c r="N177" s="1062" t="n"/>
    </row>
    <row r="178" ht="15" customHeight="1">
      <c r="A178" s="307" t="n"/>
      <c r="B178" s="1" t="inlineStr">
        <is>
          <t>EBITDA: organic</t>
        </is>
      </c>
      <c r="E178" s="1085">
        <f>'Consol P&amp;L'!P65/10^6</f>
        <v/>
      </c>
      <c r="F178" s="1085">
        <f>'Consol P&amp;L'!AC65/10^6</f>
        <v/>
      </c>
      <c r="G178" s="1085">
        <f>'Consol P&amp;L'!AP65/10^6</f>
        <v/>
      </c>
      <c r="H178" s="1196">
        <f>'Dec-25 LTM_P&amp;L'!K28/10^6</f>
        <v/>
      </c>
      <c r="I178" s="1197">
        <f>+H178*$I$155</f>
        <v/>
      </c>
      <c r="J178" s="1198">
        <f>(+J159*CHOOSE($H$6,Cases!E75,Cases!E76,Cases!E77))+J175</f>
        <v/>
      </c>
      <c r="K178" s="1198">
        <f>(+K159*CHOOSE($H$6,Cases!F75,Cases!F76,Cases!F77))+K175</f>
        <v/>
      </c>
      <c r="L178" s="1198">
        <f>(+L159*CHOOSE($H$6,Cases!G75,Cases!G76,Cases!G77))+L175</f>
        <v/>
      </c>
      <c r="M178" s="1198">
        <f>(+M159*CHOOSE($H$6,Cases!H75,Cases!H76,Cases!H77))+M175</f>
        <v/>
      </c>
      <c r="N178" s="1198">
        <f>(+N159*CHOOSE($H$6,Cases!I75,Cases!I76,Cases!I77))+N175</f>
        <v/>
      </c>
    </row>
    <row r="179" ht="15" customHeight="1">
      <c r="A179" s="307" t="n"/>
      <c r="B179" s="173" t="inlineStr">
        <is>
          <t>margin</t>
        </is>
      </c>
      <c r="E179" s="374">
        <f>+E178/E159</f>
        <v/>
      </c>
      <c r="F179" s="374">
        <f>+F178/F159</f>
        <v/>
      </c>
      <c r="G179" s="374">
        <f>+G178/G159</f>
        <v/>
      </c>
      <c r="H179" s="374">
        <f>+H178/H159</f>
        <v/>
      </c>
      <c r="I179" s="569">
        <f>+I178/I159</f>
        <v/>
      </c>
      <c r="J179" s="374">
        <f>J178/J159</f>
        <v/>
      </c>
      <c r="K179" s="374">
        <f>K178/K159</f>
        <v/>
      </c>
      <c r="L179" s="374">
        <f>L178/L159</f>
        <v/>
      </c>
      <c r="M179" s="374">
        <f>M178/M159</f>
        <v/>
      </c>
      <c r="N179" s="374">
        <f>N178/N159</f>
        <v/>
      </c>
    </row>
    <row r="180" ht="15" customHeight="1">
      <c r="A180" s="307" t="n"/>
      <c r="B180" s="1" t="inlineStr">
        <is>
          <t>EBITDA: M&amp;A</t>
        </is>
      </c>
      <c r="E180" s="353" t="n"/>
      <c r="F180" s="353" t="n"/>
      <c r="G180" s="353" t="n"/>
      <c r="H180" s="1198">
        <f>+H196</f>
        <v/>
      </c>
      <c r="I180" s="1197">
        <f>+I155*H196</f>
        <v/>
      </c>
      <c r="J180" s="1198">
        <f>+SUM(E139:E144)</f>
        <v/>
      </c>
      <c r="K180" s="1198">
        <f>+SUM(F139:F144)</f>
        <v/>
      </c>
      <c r="L180" s="1198">
        <f>+SUM(G139:G144)</f>
        <v/>
      </c>
      <c r="M180" s="1198">
        <f>+SUM(H139:H144)</f>
        <v/>
      </c>
      <c r="N180" s="1198">
        <f>+SUM(I139:I144)</f>
        <v/>
      </c>
    </row>
    <row r="181" ht="15" customHeight="1">
      <c r="A181" s="307" t="n"/>
      <c r="B181" s="134" t="inlineStr">
        <is>
          <t>Pro forma EBITDA</t>
        </is>
      </c>
      <c r="C181" s="134" t="n"/>
      <c r="D181" s="134" t="n"/>
      <c r="E181" s="1201">
        <f>+E178+E180</f>
        <v/>
      </c>
      <c r="F181" s="1201">
        <f>+F178+F180</f>
        <v/>
      </c>
      <c r="G181" s="1201">
        <f>+G178+G180</f>
        <v/>
      </c>
      <c r="H181" s="1201">
        <f>+H178+H180</f>
        <v/>
      </c>
      <c r="I181" s="1202">
        <f>+I178+I180</f>
        <v/>
      </c>
      <c r="J181" s="1201">
        <f>+J178+J180</f>
        <v/>
      </c>
      <c r="K181" s="1201">
        <f>+K178+K180</f>
        <v/>
      </c>
      <c r="L181" s="1201">
        <f>+L178+L180</f>
        <v/>
      </c>
      <c r="M181" s="1201">
        <f>+M178+M180</f>
        <v/>
      </c>
      <c r="N181" s="1201">
        <f>+N178+N180</f>
        <v/>
      </c>
    </row>
    <row r="182" ht="15" customFormat="1" customHeight="1" s="30">
      <c r="A182" s="307" t="n"/>
      <c r="B182" s="30" t="inlineStr">
        <is>
          <t>margin</t>
        </is>
      </c>
      <c r="E182" s="1199">
        <f>IFERROR(E181/E$162,"NM")</f>
        <v/>
      </c>
      <c r="F182" s="1199">
        <f>IFERROR(F181/F$162,"NM")</f>
        <v/>
      </c>
      <c r="G182" s="1199">
        <f>IFERROR(G181/G$162,"NM")</f>
        <v/>
      </c>
      <c r="H182" s="1199">
        <f>IFERROR(H181/H$162,"NM")</f>
        <v/>
      </c>
      <c r="I182" s="1204">
        <f>IFERROR(I181/I$162,"NM")</f>
        <v/>
      </c>
      <c r="J182" s="1199">
        <f>IFERROR(J181/J$162,"NM")</f>
        <v/>
      </c>
      <c r="K182" s="1199">
        <f>IFERROR(K181/K$162,"NM")</f>
        <v/>
      </c>
      <c r="L182" s="1199">
        <f>IFERROR(L181/L$162,"NM")</f>
        <v/>
      </c>
      <c r="M182" s="1199">
        <f>IFERROR(M181/M$162,"NM")</f>
        <v/>
      </c>
      <c r="N182" s="1199">
        <f>IFERROR(N181/N$162,"NM")</f>
        <v/>
      </c>
      <c r="P182" s="1" t="n"/>
    </row>
    <row r="183" ht="15" customHeight="1">
      <c r="A183" s="307" t="n"/>
      <c r="H183" s="1198" t="n"/>
      <c r="I183" s="1197" t="n"/>
      <c r="J183" s="1198" t="n"/>
      <c r="K183" s="1198" t="n"/>
      <c r="L183" s="1198" t="n"/>
      <c r="M183" s="1198" t="n"/>
      <c r="N183" s="1198" t="n"/>
      <c r="S183" s="1078" t="n"/>
      <c r="T183" s="1078" t="n"/>
    </row>
    <row r="184" ht="15" customHeight="1">
      <c r="A184" s="307" t="n"/>
      <c r="B184" s="1" t="inlineStr">
        <is>
          <t>Depreciation</t>
        </is>
      </c>
      <c r="E184" s="1085">
        <f>-'Consol P&amp;L'!P74/10^6</f>
        <v/>
      </c>
      <c r="F184" s="1085">
        <f>-'Consol P&amp;L'!AC74/10^6</f>
        <v/>
      </c>
      <c r="G184" s="1085">
        <f>-'Consol P&amp;L'!AP74/10^6</f>
        <v/>
      </c>
      <c r="H184" s="1196">
        <f>-'Dec-25 LTM_P&amp;L'!J37/10^6</f>
        <v/>
      </c>
      <c r="I184" s="1206">
        <f>+I189-I181</f>
        <v/>
      </c>
      <c r="J184" s="1196">
        <f>-'Consol P&amp;L'!BP74/10^6</f>
        <v/>
      </c>
      <c r="K184" s="1196">
        <f>-'Consol P&amp;L'!CC74/10^6</f>
        <v/>
      </c>
      <c r="L184" s="1196">
        <f>-'Consol P&amp;L'!CP74/10^6</f>
        <v/>
      </c>
      <c r="M184" s="1196">
        <f>-'Consol P&amp;L'!DC74/10^6</f>
        <v/>
      </c>
      <c r="N184" s="1196">
        <f>-'Consol P&amp;L'!DP74/10^6</f>
        <v/>
      </c>
      <c r="S184" s="1078" t="n"/>
      <c r="T184" s="1078" t="n"/>
    </row>
    <row r="185" ht="15" customHeight="1">
      <c r="A185" s="307" t="n"/>
      <c r="E185" s="1062" t="n"/>
      <c r="F185" s="1062" t="n"/>
      <c r="G185" s="1062" t="n"/>
      <c r="H185" s="1062" t="n"/>
      <c r="I185" s="1206" t="n"/>
      <c r="J185" s="1062" t="n"/>
      <c r="K185" s="1062" t="n"/>
      <c r="L185" s="1062" t="n"/>
      <c r="M185" s="1062" t="n"/>
      <c r="N185" s="1062" t="n"/>
      <c r="S185" s="1078" t="n"/>
      <c r="T185" s="1078" t="n"/>
    </row>
    <row r="186" ht="15" customHeight="1">
      <c r="A186" s="307" t="n"/>
      <c r="B186" s="1" t="inlineStr">
        <is>
          <t>EBIT: organic</t>
        </is>
      </c>
      <c r="E186" s="1062">
        <f>E178+E184</f>
        <v/>
      </c>
      <c r="F186" s="1062">
        <f>F178+F184</f>
        <v/>
      </c>
      <c r="G186" s="1062">
        <f>G178+G184</f>
        <v/>
      </c>
      <c r="H186" s="1062">
        <f>H178+H184</f>
        <v/>
      </c>
      <c r="I186" s="1197">
        <f>+H186*$I$155</f>
        <v/>
      </c>
      <c r="J186" s="1062">
        <f>J178+J184</f>
        <v/>
      </c>
      <c r="K186" s="1062">
        <f>K178+K184</f>
        <v/>
      </c>
      <c r="L186" s="1062">
        <f>L178+L184</f>
        <v/>
      </c>
      <c r="M186" s="1062">
        <f>M178+M184</f>
        <v/>
      </c>
      <c r="N186" s="1062">
        <f>N178+N184</f>
        <v/>
      </c>
      <c r="S186" s="1078" t="n"/>
      <c r="T186" s="1078" t="n"/>
    </row>
    <row r="187" ht="15" customFormat="1" customHeight="1" s="30">
      <c r="A187" s="307" t="n"/>
      <c r="B187" s="173" t="inlineStr">
        <is>
          <t>margin</t>
        </is>
      </c>
      <c r="E187" s="374">
        <f>+E186/E159</f>
        <v/>
      </c>
      <c r="F187" s="374">
        <f>+F186/F159</f>
        <v/>
      </c>
      <c r="G187" s="374">
        <f>+G186/G159</f>
        <v/>
      </c>
      <c r="H187" s="374">
        <f>+H186/H159</f>
        <v/>
      </c>
      <c r="I187" s="569">
        <f>+I186/I159</f>
        <v/>
      </c>
      <c r="J187" s="374" t="n"/>
      <c r="K187" s="374" t="n"/>
      <c r="L187" s="374" t="n"/>
      <c r="M187" s="374" t="n"/>
      <c r="N187" s="374" t="n"/>
      <c r="S187" s="1207" t="n"/>
      <c r="T187" s="1207" t="n"/>
    </row>
    <row r="188" ht="15" customHeight="1">
      <c r="A188" s="307" t="n"/>
      <c r="B188" s="1" t="inlineStr">
        <is>
          <t>EBIT: M&amp;A</t>
        </is>
      </c>
      <c r="E188" s="353" t="n"/>
      <c r="F188" s="353" t="n"/>
      <c r="G188" s="353" t="n"/>
      <c r="H188" s="1062">
        <f>H197</f>
        <v/>
      </c>
      <c r="I188" s="1206">
        <f>I197</f>
        <v/>
      </c>
      <c r="J188" s="1062">
        <f>SUM(E147:E152)</f>
        <v/>
      </c>
      <c r="K188" s="1062">
        <f>SUM(F147:F152)</f>
        <v/>
      </c>
      <c r="L188" s="1062">
        <f>SUM(G147:G152)</f>
        <v/>
      </c>
      <c r="M188" s="1062">
        <f>SUM(H147:H152)</f>
        <v/>
      </c>
      <c r="N188" s="1062">
        <f>SUM(I147:I152)</f>
        <v/>
      </c>
    </row>
    <row r="189" ht="15" customHeight="1">
      <c r="A189" s="307" t="n"/>
      <c r="B189" s="134" t="inlineStr">
        <is>
          <t>Pro forma EBIT</t>
        </is>
      </c>
      <c r="C189" s="134" t="n"/>
      <c r="D189" s="134" t="n"/>
      <c r="E189" s="1201">
        <f>+E186+E188</f>
        <v/>
      </c>
      <c r="F189" s="1201">
        <f>+F186+F188</f>
        <v/>
      </c>
      <c r="G189" s="1201">
        <f>+G186+G188</f>
        <v/>
      </c>
      <c r="H189" s="1201">
        <f>+H186+H188</f>
        <v/>
      </c>
      <c r="I189" s="1202">
        <f>+I186+I188</f>
        <v/>
      </c>
      <c r="J189" s="1201">
        <f>+J186+J188</f>
        <v/>
      </c>
      <c r="K189" s="1201">
        <f>+K186+K188</f>
        <v/>
      </c>
      <c r="L189" s="1201">
        <f>+L186+L188</f>
        <v/>
      </c>
      <c r="M189" s="1201">
        <f>+M186+M188</f>
        <v/>
      </c>
      <c r="N189" s="1201">
        <f>+N186+N188</f>
        <v/>
      </c>
    </row>
    <row r="190" ht="15" customFormat="1" customHeight="1" s="30">
      <c r="A190" s="307" t="n"/>
      <c r="B190" s="30" t="inlineStr">
        <is>
          <t>margin</t>
        </is>
      </c>
      <c r="E190" s="1199">
        <f>IFERROR(E189/E$162,"NM")</f>
        <v/>
      </c>
      <c r="F190" s="1199">
        <f>IFERROR(F189/F$162,"NM")</f>
        <v/>
      </c>
      <c r="G190" s="1199">
        <f>IFERROR(G189/G$162,"NM")</f>
        <v/>
      </c>
      <c r="H190" s="1199">
        <f>IFERROR(H189/H$162,"NM")</f>
        <v/>
      </c>
      <c r="I190" s="1204">
        <f>IFERROR(I189/I$162,"NM")</f>
        <v/>
      </c>
      <c r="J190" s="1199">
        <f>IFERROR(J189/J$162,"NM")</f>
        <v/>
      </c>
      <c r="K190" s="1199">
        <f>IFERROR(K189/K$162,"NM")</f>
        <v/>
      </c>
      <c r="L190" s="1199">
        <f>IFERROR(L189/L$162,"NM")</f>
        <v/>
      </c>
      <c r="M190" s="1199">
        <f>IFERROR(M189/M$162,"NM")</f>
        <v/>
      </c>
      <c r="N190" s="1199">
        <f>IFERROR(N189/N$162,"NM")</f>
        <v/>
      </c>
      <c r="P190" s="1199" t="n"/>
    </row>
    <row r="191" ht="15" customHeight="1">
      <c r="A191" s="307" t="n"/>
      <c r="E191" s="1062" t="n"/>
      <c r="F191" s="1062" t="n"/>
      <c r="G191" s="1062" t="n"/>
      <c r="H191" s="1062" t="n"/>
      <c r="I191" s="1206" t="n"/>
      <c r="J191" s="1062" t="n"/>
      <c r="K191" s="1062" t="n"/>
      <c r="L191" s="1062" t="n"/>
      <c r="M191" s="1062" t="n"/>
      <c r="N191" s="1062" t="n"/>
      <c r="P191" s="1062" t="n"/>
    </row>
    <row r="192" ht="15" customHeight="1">
      <c r="A192" s="307" t="n"/>
      <c r="B192" s="134" t="inlineStr">
        <is>
          <t>EBITDA-maintenance capex</t>
        </is>
      </c>
      <c r="C192" s="134" t="n"/>
      <c r="D192" s="134" t="n"/>
      <c r="E192" s="1201">
        <f>+E181+E213</f>
        <v/>
      </c>
      <c r="F192" s="1201">
        <f>+F181+F213</f>
        <v/>
      </c>
      <c r="G192" s="1201">
        <f>+G181+G213</f>
        <v/>
      </c>
      <c r="H192" s="1201">
        <f>+H181+H213</f>
        <v/>
      </c>
      <c r="I192" s="1202">
        <f>+I181+I213</f>
        <v/>
      </c>
      <c r="J192" s="1201">
        <f>+J181+J213</f>
        <v/>
      </c>
      <c r="K192" s="1201">
        <f>+K181+K213</f>
        <v/>
      </c>
      <c r="L192" s="1201">
        <f>+L181+L213</f>
        <v/>
      </c>
      <c r="M192" s="1201">
        <f>+M181+M213</f>
        <v/>
      </c>
      <c r="N192" s="1201">
        <f>+N181+N213</f>
        <v/>
      </c>
    </row>
    <row r="193" ht="15" customHeight="1">
      <c r="A193" s="307" t="n"/>
      <c r="E193" s="1062" t="n"/>
      <c r="F193" s="1062" t="n"/>
      <c r="G193" s="1062" t="n"/>
      <c r="H193" s="1062" t="n"/>
      <c r="I193" s="1206" t="n"/>
      <c r="J193" s="1062" t="n"/>
      <c r="K193" s="1062" t="n"/>
      <c r="L193" s="1062" t="n"/>
      <c r="M193" s="1062" t="n"/>
      <c r="N193" s="1062" t="n"/>
      <c r="P193" s="1062" t="n"/>
    </row>
    <row r="194" outlineLevel="1" ht="15" customHeight="1">
      <c r="A194" s="307" t="inlineStr">
        <is>
          <t>x</t>
        </is>
      </c>
      <c r="B194" s="106" t="inlineStr">
        <is>
          <t>In-year M&amp;A - to calculate reported numbers for cash flow</t>
        </is>
      </c>
      <c r="C194" s="106" t="n"/>
      <c r="D194" s="106" t="n"/>
      <c r="E194" s="107" t="n"/>
      <c r="F194" s="107" t="n"/>
      <c r="G194" s="107" t="n"/>
      <c r="H194" s="107" t="n"/>
      <c r="I194" s="107" t="n"/>
      <c r="J194" s="107" t="n"/>
      <c r="K194" s="107" t="n"/>
      <c r="L194" s="107" t="n"/>
      <c r="M194" s="107" t="n"/>
      <c r="N194" s="107" t="n"/>
      <c r="O194" s="289" t="n"/>
      <c r="P194" s="1150" t="n"/>
    </row>
    <row r="195" outlineLevel="1" ht="15" customHeight="1">
      <c r="A195" s="307" t="n"/>
      <c r="B195" s="1" t="inlineStr">
        <is>
          <t>Revenue: M&amp;A in-year</t>
        </is>
      </c>
      <c r="F195" s="1199" t="n"/>
      <c r="G195" s="1199" t="n"/>
      <c r="H195" s="1198">
        <f>+SUM(D131:D136)</f>
        <v/>
      </c>
      <c r="I195" s="1197">
        <f>+I155*H195</f>
        <v/>
      </c>
      <c r="J195" s="1198">
        <f>+E132</f>
        <v/>
      </c>
      <c r="K195" s="1198">
        <f>+F133</f>
        <v/>
      </c>
      <c r="L195" s="1198">
        <f>+G134</f>
        <v/>
      </c>
      <c r="M195" s="1198">
        <f>+H135</f>
        <v/>
      </c>
      <c r="N195" s="1198">
        <f>+I136</f>
        <v/>
      </c>
    </row>
    <row r="196" outlineLevel="1" ht="15" customHeight="1">
      <c r="A196" s="307" t="n"/>
      <c r="B196" s="1" t="inlineStr">
        <is>
          <t>EBITDA: M&amp;A in-year</t>
        </is>
      </c>
      <c r="E196" s="353" t="n"/>
      <c r="F196" s="353" t="n"/>
      <c r="G196" s="353" t="n"/>
      <c r="H196" s="1198">
        <f>+SUM(D139:D144)</f>
        <v/>
      </c>
      <c r="I196" s="1197">
        <f>+I155*H196</f>
        <v/>
      </c>
      <c r="J196" s="1198">
        <f>+E140</f>
        <v/>
      </c>
      <c r="K196" s="1198">
        <f>+F141</f>
        <v/>
      </c>
      <c r="L196" s="1198">
        <f>+G142</f>
        <v/>
      </c>
      <c r="M196" s="1198">
        <f>+H143</f>
        <v/>
      </c>
      <c r="N196" s="1198">
        <f>+I144</f>
        <v/>
      </c>
    </row>
    <row r="197" outlineLevel="1" ht="15" customFormat="1" customHeight="1" s="30">
      <c r="A197" s="307" t="n"/>
      <c r="B197" s="1" t="inlineStr">
        <is>
          <t>EBIT: M&amp;A in-year</t>
        </is>
      </c>
      <c r="E197" s="353" t="n"/>
      <c r="F197" s="353" t="n"/>
      <c r="G197" s="353" t="n"/>
      <c r="H197" s="1198">
        <f>D147</f>
        <v/>
      </c>
      <c r="I197" s="1197">
        <f>H197*I155</f>
        <v/>
      </c>
      <c r="J197" s="1198">
        <f>E148</f>
        <v/>
      </c>
      <c r="K197" s="1198">
        <f>F149</f>
        <v/>
      </c>
      <c r="L197" s="1198">
        <f>G150</f>
        <v/>
      </c>
      <c r="M197" s="1198">
        <f>H151</f>
        <v/>
      </c>
      <c r="N197" s="1198">
        <f>I152</f>
        <v/>
      </c>
      <c r="S197" s="1207" t="n"/>
      <c r="T197" s="1207" t="n"/>
    </row>
    <row r="198" outlineLevel="1" ht="15" customHeight="1">
      <c r="A198" s="307" t="n"/>
      <c r="E198" s="1062" t="n"/>
      <c r="F198" s="1062" t="n"/>
      <c r="G198" s="1062" t="n"/>
      <c r="H198" s="1062" t="n"/>
      <c r="I198" s="1206" t="n"/>
      <c r="J198" s="1062" t="n"/>
      <c r="K198" s="1062" t="n"/>
      <c r="L198" s="1062" t="n"/>
      <c r="M198" s="1062" t="n"/>
      <c r="N198" s="1062" t="n"/>
      <c r="P198" s="1062" t="n"/>
    </row>
    <row r="199" outlineLevel="1" ht="15" customHeight="1">
      <c r="A199" s="307" t="n"/>
      <c r="B199" s="1" t="inlineStr">
        <is>
          <t>EBITDA (excl. M&amp;A in-year)</t>
        </is>
      </c>
      <c r="E199" s="1062">
        <f>+E181-E196</f>
        <v/>
      </c>
      <c r="F199" s="1062">
        <f>+F181-F196</f>
        <v/>
      </c>
      <c r="G199" s="1062">
        <f>+G181-G196</f>
        <v/>
      </c>
      <c r="H199" s="1062">
        <f>+H181-H196</f>
        <v/>
      </c>
      <c r="I199" s="1206">
        <f>+I181-I196</f>
        <v/>
      </c>
      <c r="J199" s="1062">
        <f>+J181-J196</f>
        <v/>
      </c>
      <c r="K199" s="1062">
        <f>+K181-K196</f>
        <v/>
      </c>
      <c r="L199" s="1062">
        <f>+L181-L196</f>
        <v/>
      </c>
      <c r="M199" s="1062">
        <f>+M181-M196</f>
        <v/>
      </c>
      <c r="N199" s="1062">
        <f>+N181-N196</f>
        <v/>
      </c>
      <c r="P199" s="1062" t="n"/>
    </row>
    <row r="200" outlineLevel="1" ht="15" customHeight="1">
      <c r="A200" s="307" t="n"/>
      <c r="B200" s="1" t="inlineStr">
        <is>
          <t>EBIT (excl. M&amp;A in-year)</t>
        </is>
      </c>
      <c r="E200" s="1062">
        <f>+E189-E197</f>
        <v/>
      </c>
      <c r="F200" s="1062">
        <f>+F189-F197</f>
        <v/>
      </c>
      <c r="G200" s="1062">
        <f>+G189-G197</f>
        <v/>
      </c>
      <c r="H200" s="1062">
        <f>+H189-H197</f>
        <v/>
      </c>
      <c r="I200" s="1206">
        <f>+I189-I197</f>
        <v/>
      </c>
      <c r="J200" s="1062">
        <f>+J189-J197</f>
        <v/>
      </c>
      <c r="K200" s="1062">
        <f>+K189-K197</f>
        <v/>
      </c>
      <c r="L200" s="1062">
        <f>+L189-L197</f>
        <v/>
      </c>
      <c r="M200" s="1062">
        <f>+M189-M197</f>
        <v/>
      </c>
      <c r="N200" s="1062">
        <f>+N189-N197</f>
        <v/>
      </c>
      <c r="P200" s="1062" t="n"/>
    </row>
    <row r="201" outlineLevel="1" ht="15" customHeight="1">
      <c r="A201" s="307" t="n"/>
      <c r="E201" s="1062" t="n"/>
      <c r="F201" s="1062" t="n"/>
      <c r="G201" s="1062" t="n"/>
      <c r="H201" s="1062" t="n"/>
      <c r="I201" s="1206" t="n"/>
      <c r="J201" s="1062" t="n"/>
      <c r="K201" s="1062" t="n"/>
      <c r="L201" s="1062" t="n"/>
      <c r="M201" s="1062" t="n"/>
      <c r="N201" s="1062" t="n"/>
      <c r="P201" s="1062" t="n"/>
    </row>
    <row r="202" ht="15" customHeight="1">
      <c r="A202" s="307" t="inlineStr">
        <is>
          <t>x</t>
        </is>
      </c>
      <c r="B202" s="106">
        <f>"Cash Flow ("&amp;L14&amp;")"</f>
        <v/>
      </c>
      <c r="C202" s="106" t="n"/>
      <c r="D202" s="106" t="n"/>
      <c r="E202" s="107" t="n"/>
      <c r="F202" s="107" t="n"/>
      <c r="G202" s="107" t="n"/>
      <c r="H202" s="107" t="n"/>
      <c r="I202" s="572" t="n"/>
      <c r="J202" s="107" t="n"/>
      <c r="K202" s="107" t="n"/>
      <c r="L202" s="107" t="n"/>
      <c r="M202" s="107" t="n"/>
      <c r="N202" s="107" t="n"/>
    </row>
    <row r="203" ht="15" customHeight="1">
      <c r="A203" s="307" t="n"/>
      <c r="I203" s="562">
        <f>+$F$40</f>
        <v/>
      </c>
      <c r="J203" s="84">
        <f>+I203+1</f>
        <v/>
      </c>
      <c r="K203" s="84">
        <f>J203+1</f>
        <v/>
      </c>
      <c r="L203" s="84">
        <f>K203+1</f>
        <v/>
      </c>
      <c r="M203" s="84">
        <f>L203+1</f>
        <v/>
      </c>
      <c r="N203" s="84">
        <f>M203+1</f>
        <v/>
      </c>
    </row>
    <row r="204" ht="15" customHeight="1">
      <c r="A204" s="307" t="n"/>
      <c r="I204" s="1192">
        <f>+$F$38</f>
        <v/>
      </c>
      <c r="J204" s="14" t="n"/>
    </row>
    <row r="205" ht="15" customHeight="1">
      <c r="A205" s="307" t="n"/>
      <c r="B205" s="68">
        <f>+$B$157</f>
        <v/>
      </c>
      <c r="C205" s="68" t="n"/>
      <c r="D205" s="68" t="n"/>
      <c r="E205" s="1193">
        <f>E$157</f>
        <v/>
      </c>
      <c r="F205" s="1193">
        <f>F$157</f>
        <v/>
      </c>
      <c r="G205" s="1193">
        <f>G$157</f>
        <v/>
      </c>
      <c r="H205" s="1193">
        <f>H$157</f>
        <v/>
      </c>
      <c r="I205" s="1195">
        <f>I$157</f>
        <v/>
      </c>
      <c r="J205" s="1193">
        <f>J$157</f>
        <v/>
      </c>
      <c r="K205" s="1193">
        <f>K$157</f>
        <v/>
      </c>
      <c r="L205" s="1193">
        <f>L$157</f>
        <v/>
      </c>
      <c r="M205" s="1193">
        <f>M$157</f>
        <v/>
      </c>
      <c r="N205" s="1193">
        <f>N$157</f>
        <v/>
      </c>
    </row>
    <row r="206" ht="15" customHeight="1">
      <c r="A206" s="307" t="n"/>
      <c r="I206" s="565" t="n"/>
    </row>
    <row r="207" ht="15" customHeight="1">
      <c r="A207" s="307" t="n"/>
      <c r="B207" s="1" t="inlineStr">
        <is>
          <t>EBITDA (excl. M&amp;A in-year)</t>
        </is>
      </c>
      <c r="E207" s="1062">
        <f>+E199</f>
        <v/>
      </c>
      <c r="F207" s="1062">
        <f>+F199</f>
        <v/>
      </c>
      <c r="G207" s="1062">
        <f>+G199</f>
        <v/>
      </c>
      <c r="H207" s="1062">
        <f>+H199</f>
        <v/>
      </c>
      <c r="I207" s="1206">
        <f>+I199</f>
        <v/>
      </c>
      <c r="J207" s="1062">
        <f>+J199</f>
        <v/>
      </c>
      <c r="K207" s="1062">
        <f>+K199</f>
        <v/>
      </c>
      <c r="L207" s="1062">
        <f>+L199</f>
        <v/>
      </c>
      <c r="M207" s="1062">
        <f>+M199</f>
        <v/>
      </c>
      <c r="N207" s="1062">
        <f>+N199</f>
        <v/>
      </c>
    </row>
    <row r="208" ht="15" customHeight="1">
      <c r="A208" s="307" t="n"/>
      <c r="B208" s="1" t="inlineStr">
        <is>
          <t>Exceptionals</t>
        </is>
      </c>
      <c r="E208" s="1085" t="n">
        <v>0</v>
      </c>
      <c r="F208" s="1085" t="n">
        <v>0</v>
      </c>
      <c r="G208" s="1085" t="n">
        <v>0</v>
      </c>
      <c r="H208" s="1196" t="n">
        <v>0</v>
      </c>
      <c r="I208" s="1206">
        <f>+H208*$I$203</f>
        <v/>
      </c>
      <c r="J208" s="1208" t="n">
        <v>0</v>
      </c>
      <c r="K208" s="1085" t="n">
        <v>0</v>
      </c>
      <c r="L208" s="1085" t="n">
        <v>0</v>
      </c>
      <c r="M208" s="1085" t="n">
        <v>0</v>
      </c>
      <c r="N208" s="1085" t="n">
        <v>0</v>
      </c>
      <c r="P208" s="1062" t="n"/>
    </row>
    <row r="209" ht="15" customHeight="1">
      <c r="A209" s="307" t="n"/>
      <c r="B209" s="1" t="inlineStr">
        <is>
          <t>Change in WC</t>
        </is>
      </c>
      <c r="E209" s="1085">
        <f>'Consol CF - Summary'!B53/10^6</f>
        <v/>
      </c>
      <c r="F209" s="1085">
        <f>'Consol CF - Summary'!C53/10^6</f>
        <v/>
      </c>
      <c r="G209" s="1085">
        <f>'Consol CF - Summary'!D53/10^6</f>
        <v/>
      </c>
      <c r="H209" s="1085">
        <f>'Consol CF - Summary'!E53/10^6</f>
        <v/>
      </c>
      <c r="I209" s="1206">
        <f>+H209*I203</f>
        <v/>
      </c>
      <c r="J209" s="1209">
        <f>+-J159*J210+H159*J210-(J161-H161-J195)*J210</f>
        <v/>
      </c>
      <c r="K209" s="1209">
        <f>+-K159*K210+J159*K210-(K161-J161-K195)*K210</f>
        <v/>
      </c>
      <c r="L209" s="1209">
        <f>+-L159*L210+K159*L210-(L161-K161-L195)*L210</f>
        <v/>
      </c>
      <c r="M209" s="1209">
        <f>+-M159*M210+L159*M210-(M161-L161-M195)*M210</f>
        <v/>
      </c>
      <c r="N209" s="1209">
        <f>+-N159*N210+M159*N210-(N161-M161-N195)*N210</f>
        <v/>
      </c>
      <c r="P209" s="1136" t="inlineStr">
        <is>
          <t>Note: stub calc assumes no seasonality in cash flow</t>
        </is>
      </c>
    </row>
    <row r="210" ht="15" customHeight="1">
      <c r="A210" s="307" t="n"/>
      <c r="B210" s="173" t="inlineStr">
        <is>
          <t>% change revenue</t>
        </is>
      </c>
      <c r="E210" s="1062" t="n"/>
      <c r="F210" s="374">
        <f>-F209/(F162-E162)</f>
        <v/>
      </c>
      <c r="G210" s="374">
        <f>-G209/(G162-F162)</f>
        <v/>
      </c>
      <c r="H210" s="374">
        <f>-H209/(H162-G162)</f>
        <v/>
      </c>
      <c r="I210" s="573">
        <f>-I209/(I162-H162)</f>
        <v/>
      </c>
      <c r="J210" s="1200" t="n"/>
      <c r="K210" s="1200" t="n"/>
      <c r="L210" s="1200" t="n"/>
      <c r="M210" s="1200" t="n"/>
      <c r="N210" s="1200" t="n"/>
      <c r="P210" s="843" t="n"/>
    </row>
    <row r="211" ht="15" customHeight="1">
      <c r="A211" s="307" t="n"/>
      <c r="B211" s="134" t="inlineStr">
        <is>
          <t>Operating cash flow</t>
        </is>
      </c>
      <c r="C211" s="134" t="n"/>
      <c r="D211" s="134" t="n"/>
      <c r="E211" s="1201">
        <f>+E207+E208+E209</f>
        <v/>
      </c>
      <c r="F211" s="1201">
        <f>+F207+F208+F209</f>
        <v/>
      </c>
      <c r="G211" s="1201">
        <f>+G207+G208+G209</f>
        <v/>
      </c>
      <c r="H211" s="1201">
        <f>+H207+H208+H209</f>
        <v/>
      </c>
      <c r="I211" s="1202">
        <f>+I207+I208+I209</f>
        <v/>
      </c>
      <c r="J211" s="1201">
        <f>+J207+J208+J209</f>
        <v/>
      </c>
      <c r="K211" s="1201">
        <f>+K207+K208+K209</f>
        <v/>
      </c>
      <c r="L211" s="1201">
        <f>+L207+L208+L209</f>
        <v/>
      </c>
      <c r="M211" s="1201">
        <f>+M207+M208+M209</f>
        <v/>
      </c>
      <c r="N211" s="1201">
        <f>+N207+N208+N209</f>
        <v/>
      </c>
    </row>
    <row r="212" ht="15" customHeight="1">
      <c r="A212" s="307" t="n"/>
      <c r="B212" s="1" t="inlineStr">
        <is>
          <t>Capex</t>
        </is>
      </c>
      <c r="E212" s="1062">
        <f>+E213+E215</f>
        <v/>
      </c>
      <c r="F212" s="1062">
        <f>+F213+F215</f>
        <v/>
      </c>
      <c r="G212" s="1062">
        <f>+G213+G215</f>
        <v/>
      </c>
      <c r="H212" s="1062">
        <f>+H213+H215</f>
        <v/>
      </c>
      <c r="I212" s="1206">
        <f>+I213+I215</f>
        <v/>
      </c>
      <c r="J212" s="1062">
        <f>+J213+J215</f>
        <v/>
      </c>
      <c r="K212" s="1062">
        <f>+K213+K215</f>
        <v/>
      </c>
      <c r="L212" s="1062">
        <f>+L213+L215</f>
        <v/>
      </c>
      <c r="M212" s="1062">
        <f>+M213+M215</f>
        <v/>
      </c>
      <c r="N212" s="1062">
        <f>+N213+N215</f>
        <v/>
      </c>
      <c r="P212" s="1136" t="inlineStr">
        <is>
          <t>Note: stub calc assumes no seasonality in cash flow</t>
        </is>
      </c>
    </row>
    <row r="213" ht="15" customHeight="1">
      <c r="A213" s="307" t="n"/>
      <c r="B213" s="173" t="inlineStr">
        <is>
          <t>o/w maintenance</t>
        </is>
      </c>
      <c r="E213" s="1210">
        <f>-'Consol CF - Summary'!B$37/10^6*0.5</f>
        <v/>
      </c>
      <c r="F213" s="1210">
        <f>-'Consol CF - Summary'!C$37/10^6*0.5</f>
        <v/>
      </c>
      <c r="G213" s="1210">
        <f>-'Consol CF - Summary'!D$37/10^6*0.5</f>
        <v/>
      </c>
      <c r="H213" s="1211">
        <f>'Dec-25 LTM_Cashflow'!$Q$23/10^6/2</f>
        <v/>
      </c>
      <c r="I213" s="1206">
        <f>+H213*$I$203</f>
        <v/>
      </c>
      <c r="J213" s="1062">
        <f>+-J214*J162</f>
        <v/>
      </c>
      <c r="K213" s="1062">
        <f>+-K214*K162</f>
        <v/>
      </c>
      <c r="L213" s="1062">
        <f>+-L214*L162</f>
        <v/>
      </c>
      <c r="M213" s="1062">
        <f>+-M214*M162</f>
        <v/>
      </c>
      <c r="N213" s="1062">
        <f>+-N214*N162</f>
        <v/>
      </c>
      <c r="P213" s="1136" t="n"/>
    </row>
    <row r="214" ht="15" customHeight="1">
      <c r="A214" s="307" t="n"/>
      <c r="B214" s="376" t="inlineStr">
        <is>
          <t>% revenue</t>
        </is>
      </c>
      <c r="E214" s="374">
        <f>-+E213/E162</f>
        <v/>
      </c>
      <c r="F214" s="374">
        <f>-+F213/F162</f>
        <v/>
      </c>
      <c r="G214" s="374">
        <f>-+G213/G162</f>
        <v/>
      </c>
      <c r="H214" s="374">
        <f>-+H213/H162</f>
        <v/>
      </c>
      <c r="I214" s="569">
        <f>-+I213/I162</f>
        <v/>
      </c>
      <c r="J214" s="1200" t="n"/>
      <c r="K214" s="1200" t="n"/>
      <c r="L214" s="1200" t="n"/>
      <c r="M214" s="1200" t="n"/>
      <c r="N214" s="1200" t="n"/>
      <c r="P214" s="1212" t="inlineStr">
        <is>
          <t>---&gt; Capex assumed to be lower as a % going forward as they are basically rebuilding entire facility now</t>
        </is>
      </c>
    </row>
    <row r="215" ht="15" customHeight="1">
      <c r="A215" s="307" t="n"/>
      <c r="B215" s="173" t="inlineStr">
        <is>
          <t>o/w growth</t>
        </is>
      </c>
      <c r="E215" s="1210">
        <f>-'Consol CF - Summary'!B$37/10^6*0.5</f>
        <v/>
      </c>
      <c r="F215" s="1210">
        <f>-'Consol CF - Summary'!C$37/10^6*0.5</f>
        <v/>
      </c>
      <c r="G215" s="1210">
        <f>-'Consol CF - Summary'!D$37/10^6*0.5</f>
        <v/>
      </c>
      <c r="H215" s="1211">
        <f>'Dec-25 LTM_Cashflow'!$Q$23/10^6/2</f>
        <v/>
      </c>
      <c r="I215" s="1206">
        <f>+H215*$I$203</f>
        <v/>
      </c>
      <c r="J215" s="1062">
        <f>+-J216*J162</f>
        <v/>
      </c>
      <c r="K215" s="1062">
        <f>+-K216*K162</f>
        <v/>
      </c>
      <c r="L215" s="1062">
        <f>+-L216*L162</f>
        <v/>
      </c>
      <c r="M215" s="1062">
        <f>+-M216*M162</f>
        <v/>
      </c>
      <c r="N215" s="1062">
        <f>+-N216*N162</f>
        <v/>
      </c>
      <c r="P215" s="1212" t="n"/>
    </row>
    <row r="216" ht="15" customHeight="1">
      <c r="A216" s="307" t="n"/>
      <c r="B216" s="376" t="inlineStr">
        <is>
          <t>% revenue</t>
        </is>
      </c>
      <c r="E216" s="374">
        <f>-+E215/E162</f>
        <v/>
      </c>
      <c r="F216" s="374">
        <f>-+F215/F162</f>
        <v/>
      </c>
      <c r="G216" s="374">
        <f>-+G215/G162</f>
        <v/>
      </c>
      <c r="H216" s="374">
        <f>-+H215/H162</f>
        <v/>
      </c>
      <c r="I216" s="569">
        <f>-+I215/I162</f>
        <v/>
      </c>
      <c r="J216" s="1200" t="n"/>
      <c r="K216" s="1200" t="n"/>
      <c r="L216" s="1200" t="n"/>
      <c r="M216" s="1200" t="n"/>
      <c r="N216" s="1200" t="n"/>
      <c r="P216" s="1212" t="inlineStr">
        <is>
          <t>---&gt; Capex assumed to be lower as a % going forward as they are basically rebuilding entire facility now</t>
        </is>
      </c>
      <c r="Q216" s="1136" t="n"/>
      <c r="R216" s="1136" t="n"/>
      <c r="S216" s="1136" t="n"/>
      <c r="T216" s="1136" t="n"/>
      <c r="U216" s="1136" t="n"/>
    </row>
    <row r="217" ht="15" customHeight="1">
      <c r="A217" s="307" t="n"/>
      <c r="B217" s="1" t="inlineStr">
        <is>
          <t>Tax</t>
        </is>
      </c>
      <c r="E217" s="353" t="n"/>
      <c r="F217" s="353" t="n"/>
      <c r="G217" s="353" t="n"/>
      <c r="H217" s="353" t="n"/>
      <c r="I217" s="1206">
        <f>+I249</f>
        <v/>
      </c>
      <c r="J217" s="1062">
        <f>+J249</f>
        <v/>
      </c>
      <c r="K217" s="1062">
        <f>+K249</f>
        <v/>
      </c>
      <c r="L217" s="1062">
        <f>+L249</f>
        <v/>
      </c>
      <c r="M217" s="1062">
        <f>+M249</f>
        <v/>
      </c>
      <c r="N217" s="1062">
        <f>+N249</f>
        <v/>
      </c>
      <c r="O217" s="22" t="n"/>
      <c r="P217" s="1136" t="n"/>
      <c r="Q217" s="1136" t="n"/>
      <c r="R217" s="1136" t="n"/>
      <c r="S217" s="1136" t="n"/>
      <c r="T217" s="1136" t="n"/>
      <c r="U217" s="1136" t="n"/>
    </row>
    <row r="218" ht="15" customHeight="1">
      <c r="A218" s="307" t="n"/>
      <c r="B218" s="1" t="inlineStr">
        <is>
          <t>Blixt management fee</t>
        </is>
      </c>
      <c r="E218" s="353" t="n"/>
      <c r="F218" s="353" t="n"/>
      <c r="G218" s="353" t="n"/>
      <c r="H218" s="353" t="n"/>
      <c r="I218" s="1206">
        <f>IF(I203&lt;0.5,0,MIN(+-I181*$L$19,-$M$19))</f>
        <v/>
      </c>
      <c r="J218" s="1062">
        <f>MIN(-J181*$L$19,-$M$19)</f>
        <v/>
      </c>
      <c r="K218" s="1062">
        <f>MIN(-K181*$L$19,-$M$19)</f>
        <v/>
      </c>
      <c r="L218" s="1062">
        <f>MIN(-L181*$L$19,-$M$19)</f>
        <v/>
      </c>
      <c r="M218" s="1062">
        <f>MIN(-M181*$L$19,-$M$19)</f>
        <v/>
      </c>
      <c r="N218" s="1062">
        <f>MIN(-N181*$L$19,-$M$19)</f>
        <v/>
      </c>
    </row>
    <row r="219" ht="15" customHeight="1">
      <c r="A219" s="307" t="n"/>
      <c r="B219" s="1" t="inlineStr">
        <is>
          <t>Earn out (platform investment)</t>
        </is>
      </c>
      <c r="E219" s="353" t="n"/>
      <c r="F219" s="353" t="n"/>
      <c r="G219" s="353" t="n"/>
      <c r="H219" s="353" t="n"/>
      <c r="I219" s="574" t="n"/>
      <c r="J219" s="1062">
        <f>+-$O$36*O37</f>
        <v/>
      </c>
      <c r="K219" s="1213">
        <f>EO_calc!D9*-1</f>
        <v/>
      </c>
      <c r="L219" s="1213">
        <f>EO_calc!E9*-1</f>
        <v/>
      </c>
      <c r="M219" s="1062">
        <f>+-$O$36*O40</f>
        <v/>
      </c>
      <c r="N219" s="1062">
        <f>+-$O$36*O41</f>
        <v/>
      </c>
    </row>
    <row r="220" ht="15" customHeight="1">
      <c r="A220" s="307" t="n"/>
      <c r="B220" s="1" t="inlineStr">
        <is>
          <t>M&amp;A</t>
        </is>
      </c>
      <c r="E220" s="353" t="n"/>
      <c r="F220" s="353" t="n"/>
      <c r="G220" s="353" t="n"/>
      <c r="H220" s="353" t="n"/>
      <c r="I220" s="1206">
        <f>++-SUM(D121:D126)</f>
        <v/>
      </c>
      <c r="J220" s="1062">
        <f>++-SUM(E121:E126)</f>
        <v/>
      </c>
      <c r="K220" s="1062">
        <f>++-SUM(F121:F126)</f>
        <v/>
      </c>
      <c r="L220" s="1062">
        <f>++-SUM(G121:G126)</f>
        <v/>
      </c>
      <c r="M220" s="1062">
        <f>++-SUM(H121:H126)</f>
        <v/>
      </c>
      <c r="N220" s="1062">
        <f>++-SUM(I121:I126)</f>
        <v/>
      </c>
    </row>
    <row r="221" ht="15" customHeight="1">
      <c r="A221" s="307" t="n"/>
      <c r="B221" s="134" t="inlineStr">
        <is>
          <t>Cash Flow available for Debt Service</t>
        </is>
      </c>
      <c r="C221" s="134" t="n"/>
      <c r="D221" s="134" t="n"/>
      <c r="E221" s="1201">
        <f>+E211+E212+E217+E218+E219+E220</f>
        <v/>
      </c>
      <c r="F221" s="1201">
        <f>+F211+F212+F217+F218+F219+F220</f>
        <v/>
      </c>
      <c r="G221" s="1201">
        <f>+G211+G212+G217+G218+G219+G220</f>
        <v/>
      </c>
      <c r="H221" s="1201">
        <f>+H211+H212+H217+H218+H219+H220</f>
        <v/>
      </c>
      <c r="I221" s="1202">
        <f>+I211+I212+I217+I218+I219+I220</f>
        <v/>
      </c>
      <c r="J221" s="1201">
        <f>+J211+J212+J217+J218+J219+J220</f>
        <v/>
      </c>
      <c r="K221" s="1201">
        <f>+K211+K212+K217+K218+K219+K220</f>
        <v/>
      </c>
      <c r="L221" s="1201">
        <f>+L211+L212+L217+L218+L219+L220</f>
        <v/>
      </c>
      <c r="M221" s="1201">
        <f>+M211+M212+M217+M218+M219+M220</f>
        <v/>
      </c>
      <c r="N221" s="1201">
        <f>+N211+N212+N217+N218+N219+N220</f>
        <v/>
      </c>
    </row>
    <row r="222" ht="15" customHeight="1">
      <c r="A222" s="307" t="n"/>
      <c r="B222" s="2" t="n"/>
      <c r="C222" s="2" t="n"/>
      <c r="D222" s="2" t="n"/>
      <c r="E222" s="1062" t="n"/>
      <c r="F222" s="1062" t="n"/>
      <c r="G222" s="1062" t="n"/>
      <c r="H222" s="1062" t="n"/>
      <c r="I222" s="1214" t="n"/>
      <c r="J222" s="1173" t="n"/>
      <c r="K222" s="1173" t="n"/>
      <c r="L222" s="1173" t="n"/>
      <c r="M222" s="1173" t="n"/>
      <c r="N222" s="1173" t="n"/>
    </row>
    <row r="223" ht="15" customHeight="1">
      <c r="A223" s="307" t="n"/>
      <c r="B223" s="1" t="inlineStr">
        <is>
          <t>TLA amortisation</t>
        </is>
      </c>
      <c r="E223" s="353" t="n"/>
      <c r="F223" s="353" t="n"/>
      <c r="G223" s="353" t="n"/>
      <c r="H223" s="353" t="n"/>
      <c r="I223" s="1206">
        <f>+I275</f>
        <v/>
      </c>
      <c r="J223" s="1062">
        <f>+J275</f>
        <v/>
      </c>
      <c r="K223" s="1062">
        <f>+K275</f>
        <v/>
      </c>
      <c r="L223" s="1062">
        <f>+L275</f>
        <v/>
      </c>
      <c r="M223" s="1062">
        <f>+M275</f>
        <v/>
      </c>
      <c r="N223" s="1062">
        <f>+N275</f>
        <v/>
      </c>
    </row>
    <row r="224" ht="15" customHeight="1">
      <c r="A224" s="307" t="n"/>
      <c r="B224" s="1" t="inlineStr">
        <is>
          <t>Interest expense</t>
        </is>
      </c>
      <c r="E224" s="353" t="n"/>
      <c r="F224" s="353" t="n"/>
      <c r="G224" s="353" t="n"/>
      <c r="H224" s="353" t="n"/>
      <c r="I224" s="1206">
        <f>+I345</f>
        <v/>
      </c>
      <c r="J224" s="1062">
        <f>+J345</f>
        <v/>
      </c>
      <c r="K224" s="1062">
        <f>+K345</f>
        <v/>
      </c>
      <c r="L224" s="1062">
        <f>+L345</f>
        <v/>
      </c>
      <c r="M224" s="1062">
        <f>+M345</f>
        <v/>
      </c>
      <c r="N224" s="1062">
        <f>+N345</f>
        <v/>
      </c>
    </row>
    <row r="225" ht="15" customHeight="1">
      <c r="A225" s="307" t="n"/>
      <c r="B225" s="1" t="inlineStr">
        <is>
          <t>Acquisition debt</t>
        </is>
      </c>
      <c r="E225" s="353" t="n"/>
      <c r="F225" s="353" t="n"/>
      <c r="G225" s="353" t="n"/>
      <c r="H225" s="353" t="n"/>
      <c r="I225" s="1206">
        <f>+I286</f>
        <v/>
      </c>
      <c r="J225" s="1062">
        <f>+J286</f>
        <v/>
      </c>
      <c r="K225" s="1062">
        <f>+K286</f>
        <v/>
      </c>
      <c r="L225" s="1062">
        <f>+L286</f>
        <v/>
      </c>
      <c r="M225" s="1062">
        <f>+M286</f>
        <v/>
      </c>
      <c r="N225" s="1062">
        <f>+N286</f>
        <v/>
      </c>
    </row>
    <row r="226" ht="15" customHeight="1">
      <c r="A226" s="307" t="n"/>
      <c r="B226" s="1" t="inlineStr">
        <is>
          <t>RCF repayment</t>
        </is>
      </c>
      <c r="E226" s="353" t="n"/>
      <c r="F226" s="353" t="n"/>
      <c r="G226" s="353" t="n"/>
      <c r="H226" s="353" t="n"/>
      <c r="I226" s="1206">
        <f>+IF((I221+I223+I224+I225)&lt;0,0,-MIN((I221+I223+I224+I225),H268))</f>
        <v/>
      </c>
      <c r="J226" s="1062">
        <f>+IF((J221+J223+J224+J225)&lt;0,0,-MIN((J221+J223+J224+J225),J265))</f>
        <v/>
      </c>
      <c r="K226" s="1062">
        <f>+IF((K221+K223+K224+K225)&lt;0,0,-MIN((K221+K223+K224+K225),K265))</f>
        <v/>
      </c>
      <c r="L226" s="1062">
        <f>+IF((L221+L223+L224+L225)&lt;0,0,-MIN((L221+L223+L224+L225),L265))</f>
        <v/>
      </c>
      <c r="M226" s="1062">
        <f>+IF((M221+M223+M224+M225)&lt;0,0,-MIN((M221+M223+M224+M225),M265))</f>
        <v/>
      </c>
      <c r="N226" s="1062">
        <f>+IF((N221+N223+N224+N225)&lt;0,0,-MIN((N221+N223+N224+N225),N265))</f>
        <v/>
      </c>
    </row>
    <row r="227" ht="15" customFormat="1" customHeight="1" s="21">
      <c r="A227" s="459" t="n"/>
      <c r="B227" s="136" t="inlineStr">
        <is>
          <t>Net cash flow</t>
        </is>
      </c>
      <c r="C227" s="136" t="n"/>
      <c r="D227" s="136" t="n"/>
      <c r="E227" s="1215" t="n"/>
      <c r="F227" s="1215" t="n"/>
      <c r="G227" s="1215" t="n"/>
      <c r="H227" s="1215" t="n"/>
      <c r="I227" s="1216">
        <f>+I221+I223+I224+I225+I226</f>
        <v/>
      </c>
      <c r="J227" s="1215">
        <f>+J221+J223+J224+J225+J226</f>
        <v/>
      </c>
      <c r="K227" s="1215">
        <f>+K221+K223+K224+K225+K226</f>
        <v/>
      </c>
      <c r="L227" s="1215">
        <f>+L221+L223+L224+L225+L226</f>
        <v/>
      </c>
      <c r="M227" s="1215">
        <f>+M221+M223+M224+M225+M226</f>
        <v/>
      </c>
      <c r="N227" s="1215">
        <f>+N221+N223+N224+N225+N226</f>
        <v/>
      </c>
      <c r="O227" s="1" t="n"/>
      <c r="P227" s="1" t="n"/>
      <c r="V227" s="1171" t="n"/>
    </row>
    <row r="228" ht="15" customFormat="1" customHeight="1" s="21">
      <c r="A228" s="459" t="n"/>
      <c r="H228" s="1171" t="n"/>
      <c r="I228" s="1217" t="n"/>
      <c r="J228" s="1171" t="n"/>
      <c r="K228" s="1171" t="n"/>
      <c r="L228" s="1171" t="n"/>
      <c r="M228" s="1171" t="n"/>
      <c r="N228" s="1171" t="n"/>
      <c r="P228" s="1171" t="n"/>
    </row>
    <row r="229" ht="15" customFormat="1" customHeight="1" s="21">
      <c r="A229" s="459" t="n"/>
      <c r="B229" s="1" t="inlineStr">
        <is>
          <t>RCF drawdown</t>
        </is>
      </c>
      <c r="C229" s="7" t="n"/>
      <c r="D229" s="7" t="n"/>
      <c r="E229" s="7" t="n"/>
      <c r="F229" s="7" t="n"/>
      <c r="G229" s="7" t="n"/>
      <c r="H229" s="1171" t="n"/>
      <c r="I229" s="1218">
        <f>+IF((H235+I227)&lt;$G$27,MIN(-((H235+I227)-$G$27),I270),0)</f>
        <v/>
      </c>
      <c r="J229" s="1219">
        <f>+IF((I235+J227)&lt;$G$27,MIN(-((I235+J227)-$G$27),J270),0)</f>
        <v/>
      </c>
      <c r="K229" s="1219">
        <f>+IF((J235+K227)&lt;$G$27,MIN(-((J235+K227)-$G$27),K270),0)</f>
        <v/>
      </c>
      <c r="L229" s="1219">
        <f>+IF((K235+L227)&lt;$G$27,MIN(-((K235+L227)-$G$27),L270),0)</f>
        <v/>
      </c>
      <c r="M229" s="1219">
        <f>+IF((L235+M227)&lt;$G$27,MIN(-((L235+M227)-$G$27),M270),0)</f>
        <v/>
      </c>
      <c r="N229" s="1219">
        <f>+IF((M235+N227)&lt;$G$27,MIN(-((M235+N227)-$G$27),N270),0)</f>
        <v/>
      </c>
      <c r="V229" s="1219" t="n"/>
      <c r="W229" s="1219" t="n"/>
      <c r="X229" s="1219" t="n"/>
      <c r="Y229" s="1219" t="n"/>
      <c r="Z229" s="1219" t="n"/>
      <c r="AA229" s="1219" t="n"/>
    </row>
    <row r="230" ht="15" customFormat="1" customHeight="1" s="21">
      <c r="A230" s="459" t="n"/>
      <c r="B230" s="1" t="inlineStr">
        <is>
          <t>RCF interest expense</t>
        </is>
      </c>
      <c r="C230" s="7" t="n"/>
      <c r="D230" s="7" t="n"/>
      <c r="E230" s="7" t="n"/>
      <c r="F230" s="7" t="n"/>
      <c r="G230" s="7" t="n"/>
      <c r="H230" s="1171" t="n"/>
      <c r="I230" s="1218">
        <f>+I335+I341</f>
        <v/>
      </c>
      <c r="J230" s="1219">
        <f>+J335+J341</f>
        <v/>
      </c>
      <c r="K230" s="1219">
        <f>+K335+K341</f>
        <v/>
      </c>
      <c r="L230" s="1219">
        <f>+L335+L341</f>
        <v/>
      </c>
      <c r="M230" s="1219">
        <f>+M335+M341</f>
        <v/>
      </c>
      <c r="N230" s="1219">
        <f>+N335+N341</f>
        <v/>
      </c>
      <c r="P230" s="1219" t="n"/>
      <c r="Y230" s="1219" t="n"/>
    </row>
    <row r="231" ht="15" customFormat="1" customHeight="1" s="21">
      <c r="A231" s="459" t="n"/>
      <c r="B231" s="1" t="inlineStr">
        <is>
          <t>Blixt new equity</t>
        </is>
      </c>
      <c r="C231" s="7" t="n"/>
      <c r="D231" s="7" t="n"/>
      <c r="E231" s="7" t="n"/>
      <c r="F231" s="7" t="n"/>
      <c r="G231" s="7" t="n"/>
      <c r="H231" s="1171" t="n"/>
      <c r="I231" s="1218">
        <f>+IF((H235+I227+I229+I230)&lt;$G$27,-((H235+I227+I229+I230)-$G$27),0)</f>
        <v/>
      </c>
      <c r="J231" s="1219">
        <f>+IF((I235+J227+J229+J230)&lt;$G$27,-((I235+J227+J229+J230)-$G$27),0)</f>
        <v/>
      </c>
      <c r="K231" s="1219">
        <f>+IF((J235+K227+K229+K230)&lt;$G$27,-((J235+K227+K229+K230)-$G$27),0)</f>
        <v/>
      </c>
      <c r="L231" s="1219">
        <f>+IF((K235+L227+L229+L230)&lt;$G$27,-((K235+L227+L229+L230)-$G$27),0)</f>
        <v/>
      </c>
      <c r="M231" s="1219">
        <f>+IF((L235+M227+M229+M230)&lt;$G$27,-((L235+M227+M229+M230)-$G$27),0)</f>
        <v/>
      </c>
      <c r="N231" s="1219">
        <f>+IF((M235+N227+N229+N230)&lt;$G$27,-((M235+N227+N229+N230)-$G$27),0)</f>
        <v/>
      </c>
      <c r="P231" s="1219" t="n"/>
      <c r="Y231" s="1219" t="n"/>
    </row>
    <row r="232" ht="15" customFormat="1" customHeight="1" s="21">
      <c r="A232" s="459" t="n"/>
      <c r="B232" s="136" t="inlineStr">
        <is>
          <t>Net cash flow (after equity injection)</t>
        </is>
      </c>
      <c r="C232" s="136" t="n"/>
      <c r="D232" s="136" t="n"/>
      <c r="E232" s="1215" t="n"/>
      <c r="F232" s="1215" t="n"/>
      <c r="G232" s="1215" t="n"/>
      <c r="H232" s="1215" t="n"/>
      <c r="I232" s="1216">
        <f>+I227+I231+I229+I230</f>
        <v/>
      </c>
      <c r="J232" s="1215">
        <f>+J227+J231+J229+J230</f>
        <v/>
      </c>
      <c r="K232" s="1215">
        <f>+K227+K231+K229+K230</f>
        <v/>
      </c>
      <c r="L232" s="1215">
        <f>+L227+L231+L229+L230</f>
        <v/>
      </c>
      <c r="M232" s="1215">
        <f>+M227+M231+M229+M230</f>
        <v/>
      </c>
      <c r="N232" s="1215">
        <f>+N227+N231+N229+N230</f>
        <v/>
      </c>
      <c r="P232" s="1062" t="n"/>
    </row>
    <row r="233" ht="15" customFormat="1" customHeight="1" s="21">
      <c r="A233" s="459" t="n"/>
      <c r="B233" s="1" t="n"/>
      <c r="C233" s="7" t="n"/>
      <c r="D233" s="7" t="n"/>
      <c r="E233" s="7" t="n"/>
      <c r="F233" s="7" t="n"/>
      <c r="G233" s="7" t="n"/>
      <c r="H233" s="7" t="n"/>
      <c r="I233" s="1217" t="n"/>
      <c r="J233" s="1219" t="n"/>
      <c r="K233" s="1219" t="n"/>
      <c r="L233" s="1219" t="n"/>
      <c r="M233" s="1219" t="n"/>
      <c r="N233" s="1219" t="n"/>
      <c r="P233" s="1219" t="n"/>
    </row>
    <row r="234" ht="15" customFormat="1" customHeight="1" s="21">
      <c r="A234" s="459" t="n"/>
      <c r="B234" s="7" t="inlineStr">
        <is>
          <t>Cash beginning of Period</t>
        </is>
      </c>
      <c r="C234" s="7" t="n"/>
      <c r="D234" s="7" t="n"/>
      <c r="E234" s="7" t="n"/>
      <c r="F234" s="7" t="n"/>
      <c r="G234" s="7" t="n"/>
      <c r="H234" s="1219" t="n"/>
      <c r="I234" s="1220">
        <f>H235</f>
        <v/>
      </c>
      <c r="J234" s="1219">
        <f>I235</f>
        <v/>
      </c>
      <c r="K234" s="1219">
        <f>J235</f>
        <v/>
      </c>
      <c r="L234" s="1219">
        <f>K235</f>
        <v/>
      </c>
      <c r="M234" s="1219">
        <f>L235</f>
        <v/>
      </c>
      <c r="N234" s="1219">
        <f>M235</f>
        <v/>
      </c>
      <c r="P234" s="1136" t="n"/>
    </row>
    <row r="235" ht="15" customFormat="1" customHeight="1" s="21">
      <c r="A235" s="459" t="n"/>
      <c r="B235" s="7" t="inlineStr">
        <is>
          <t>Cash End of Period</t>
        </is>
      </c>
      <c r="C235" s="7" t="n"/>
      <c r="D235" s="7" t="n"/>
      <c r="E235" s="7" t="n"/>
      <c r="F235" s="7" t="n"/>
      <c r="G235" s="7" t="n"/>
      <c r="H235" s="1221">
        <f>S39+S38</f>
        <v/>
      </c>
      <c r="I235" s="1222">
        <f>+I234+I232</f>
        <v/>
      </c>
      <c r="J235" s="1223">
        <f>+J234+J232</f>
        <v/>
      </c>
      <c r="K235" s="1223">
        <f>+K234+K232</f>
        <v/>
      </c>
      <c r="L235" s="1223">
        <f>+L234+L232</f>
        <v/>
      </c>
      <c r="M235" s="1223">
        <f>+M234+M232</f>
        <v/>
      </c>
      <c r="N235" s="1223">
        <f>+N234+N232</f>
        <v/>
      </c>
    </row>
    <row r="236" outlineLevel="1" ht="15" customFormat="1" customHeight="1" s="21">
      <c r="A236" s="459" t="n"/>
      <c r="B236" s="7" t="n"/>
      <c r="C236" s="7" t="n"/>
      <c r="D236" s="7" t="n"/>
      <c r="E236" s="7" t="n"/>
      <c r="F236" s="7" t="n"/>
      <c r="G236" s="7" t="n"/>
      <c r="H236" s="1219" t="n"/>
      <c r="I236" s="1218" t="n"/>
      <c r="J236" s="1219" t="n"/>
      <c r="K236" s="1219" t="n"/>
      <c r="L236" s="1219" t="n"/>
      <c r="M236" s="1219" t="n"/>
      <c r="N236" s="1219" t="n"/>
      <c r="P236" s="1219" t="n"/>
    </row>
    <row r="237" outlineLevel="1" ht="15" customFormat="1" customHeight="1" s="21">
      <c r="A237" s="459" t="n"/>
      <c r="B237" s="30" t="inlineStr">
        <is>
          <t>check</t>
        </is>
      </c>
      <c r="C237" s="1136">
        <f>COUNTIF(I237:N237,"&lt;&gt;0")</f>
        <v/>
      </c>
      <c r="D237" s="30" t="n"/>
      <c r="E237" s="1136" t="n"/>
      <c r="F237" s="1136" t="n"/>
      <c r="G237" s="1136" t="n"/>
      <c r="H237" s="1136" t="n"/>
      <c r="I237" s="1224">
        <f>+IF(I235&lt;0,I235,0)</f>
        <v/>
      </c>
      <c r="J237" s="1136">
        <f>+IF(J235&lt;0,J235,0)</f>
        <v/>
      </c>
      <c r="K237" s="1136">
        <f>+IF(K235&lt;0,K235,0)</f>
        <v/>
      </c>
      <c r="L237" s="1136">
        <f>+IF(L235&lt;0,L235,0)</f>
        <v/>
      </c>
      <c r="M237" s="1136">
        <f>+IF(M235&lt;0,M235,0)</f>
        <v/>
      </c>
      <c r="N237" s="1136">
        <f>+IF(N235&lt;0,N235,0)</f>
        <v/>
      </c>
      <c r="P237" s="1136" t="n"/>
    </row>
    <row r="238" ht="15" customHeight="1">
      <c r="A238" s="307" t="n"/>
      <c r="I238" s="565" t="n"/>
    </row>
    <row r="239" outlineLevel="1" ht="15" customHeight="1">
      <c r="A239" s="307" t="inlineStr">
        <is>
          <t>x</t>
        </is>
      </c>
      <c r="B239" s="106">
        <f>"Tax Schedule ("&amp;L14&amp;")"</f>
        <v/>
      </c>
      <c r="C239" s="106" t="n"/>
      <c r="D239" s="106" t="n"/>
      <c r="E239" s="107" t="n"/>
      <c r="F239" s="107" t="n"/>
      <c r="G239" s="107" t="n"/>
      <c r="H239" s="107" t="n"/>
      <c r="I239" s="572" t="n"/>
      <c r="J239" s="107" t="n"/>
      <c r="K239" s="107" t="n"/>
      <c r="L239" s="107" t="n"/>
      <c r="M239" s="107" t="n"/>
      <c r="N239" s="107" t="n"/>
      <c r="O239" s="289" t="n"/>
    </row>
    <row r="240" outlineLevel="1" ht="15" customHeight="1">
      <c r="A240" s="307" t="n"/>
      <c r="I240" s="562">
        <f>+$F$40</f>
        <v/>
      </c>
      <c r="J240" s="84">
        <f>+I240+1</f>
        <v/>
      </c>
      <c r="K240" s="84">
        <f>J240+1</f>
        <v/>
      </c>
      <c r="L240" s="84">
        <f>K240+1</f>
        <v/>
      </c>
      <c r="M240" s="84">
        <f>L240+1</f>
        <v/>
      </c>
      <c r="N240" s="84">
        <f>M240+1</f>
        <v/>
      </c>
      <c r="O240" s="84" t="n"/>
    </row>
    <row r="241" outlineLevel="1" ht="15" customHeight="1">
      <c r="A241" s="307" t="n"/>
      <c r="I241" s="1192">
        <f>+$F$38</f>
        <v/>
      </c>
      <c r="J241" s="14" t="n"/>
    </row>
    <row r="242" outlineLevel="1" ht="15" customHeight="1">
      <c r="A242" s="307" t="n"/>
      <c r="B242" s="68">
        <f>+$B$157</f>
        <v/>
      </c>
      <c r="C242" s="68" t="n"/>
      <c r="D242" s="68" t="n"/>
      <c r="E242" s="68" t="n"/>
      <c r="F242" s="1193" t="n"/>
      <c r="G242" s="1193" t="n"/>
      <c r="H242" s="1193" t="inlineStr">
        <is>
          <t>Opening</t>
        </is>
      </c>
      <c r="I242" s="1195">
        <f>H$157</f>
        <v/>
      </c>
      <c r="J242" s="1193">
        <f>J$157</f>
        <v/>
      </c>
      <c r="K242" s="1193">
        <f>K$157</f>
        <v/>
      </c>
      <c r="L242" s="1193">
        <f>L$157</f>
        <v/>
      </c>
      <c r="M242" s="1193">
        <f>M$157</f>
        <v/>
      </c>
      <c r="N242" s="1193">
        <f>N$157</f>
        <v/>
      </c>
      <c r="O242" s="1180" t="n"/>
    </row>
    <row r="243" outlineLevel="1" ht="15" customHeight="1">
      <c r="A243" s="307" t="n"/>
      <c r="I243" s="565" t="n"/>
    </row>
    <row r="244" outlineLevel="1" ht="15" customHeight="1">
      <c r="A244" s="307" t="n"/>
      <c r="B244" s="1" t="inlineStr">
        <is>
          <t>Net interest expense</t>
        </is>
      </c>
      <c r="I244" s="1218">
        <f>I343</f>
        <v/>
      </c>
      <c r="J244" s="1219">
        <f>J343</f>
        <v/>
      </c>
      <c r="K244" s="1219">
        <f>K343</f>
        <v/>
      </c>
      <c r="L244" s="1219">
        <f>L343</f>
        <v/>
      </c>
      <c r="M244" s="1219">
        <f>M343</f>
        <v/>
      </c>
      <c r="N244" s="1219">
        <f>N343</f>
        <v/>
      </c>
    </row>
    <row r="245" outlineLevel="1" ht="15" customHeight="1">
      <c r="A245" s="307" t="n"/>
      <c r="B245" s="1" t="inlineStr">
        <is>
          <t>Net interest expense (excl. preference shares)</t>
        </is>
      </c>
      <c r="I245" s="1218">
        <f>+I244-I340</f>
        <v/>
      </c>
      <c r="J245" s="1219">
        <f>+J244-J340</f>
        <v/>
      </c>
      <c r="K245" s="1219">
        <f>+K244-K340</f>
        <v/>
      </c>
      <c r="L245" s="1219">
        <f>+L244-L340</f>
        <v/>
      </c>
      <c r="M245" s="1219">
        <f>+M244-M340</f>
        <v/>
      </c>
      <c r="N245" s="1219">
        <f>+N244-N340</f>
        <v/>
      </c>
    </row>
    <row r="246" outlineLevel="1" ht="15" customHeight="1">
      <c r="A246" s="307" t="n"/>
      <c r="B246" s="1" t="inlineStr">
        <is>
          <t>30% tax EBITDA hurdle (excl. M&amp;A in-year)</t>
        </is>
      </c>
      <c r="I246" s="1218">
        <f>+I207*$L$16</f>
        <v/>
      </c>
      <c r="J246" s="1219">
        <f>+J207*$L$16</f>
        <v/>
      </c>
      <c r="K246" s="1219">
        <f>+K207*$L$16</f>
        <v/>
      </c>
      <c r="L246" s="1219">
        <f>+L207*$L$16</f>
        <v/>
      </c>
      <c r="M246" s="1219">
        <f>+M207*$L$16</f>
        <v/>
      </c>
      <c r="N246" s="1219">
        <f>+N207*$L$16</f>
        <v/>
      </c>
    </row>
    <row r="247" outlineLevel="1" ht="15" customHeight="1">
      <c r="A247" s="307" t="n"/>
      <c r="B247" s="1" t="inlineStr">
        <is>
          <t>Interest relief for tax calculation</t>
        </is>
      </c>
      <c r="I247" s="1218">
        <f>IF(OR($L$17="",$L$16=""),I245,-MIN(-I245,MAX(-$L$17,I246)))</f>
        <v/>
      </c>
      <c r="J247" s="1219">
        <f>IF(OR($L$17="",$L$16=""),J245,-MIN(-J245,MAX(-$L$17,J246)))</f>
        <v/>
      </c>
      <c r="K247" s="1219">
        <f>IF(OR($L$17="",$L$16=""),K245,-MIN(-K245,MAX(-$L$17,K246)))</f>
        <v/>
      </c>
      <c r="L247" s="1219">
        <f>IF(OR($L$17="",$L$16=""),L245,-MIN(-L245,MAX(-$L$17,L246)))</f>
        <v/>
      </c>
      <c r="M247" s="1219">
        <f>IF(OR($L$17="",$L$16=""),M245,-MIN(-M245,MAX(-$L$17,M246)))</f>
        <v/>
      </c>
      <c r="N247" s="1219">
        <f>IF(OR($L$17="",$L$16=""),N245,-MIN(-N245,MAX(-$L$17,N246)))</f>
        <v/>
      </c>
    </row>
    <row r="248" outlineLevel="1" ht="15" customHeight="1">
      <c r="A248" s="307" t="n"/>
      <c r="B248" s="1" t="inlineStr">
        <is>
          <t>Interest adjusted PBT</t>
        </is>
      </c>
      <c r="I248" s="1218">
        <f>+I200+I247</f>
        <v/>
      </c>
      <c r="J248" s="1219">
        <f>+J200+J247</f>
        <v/>
      </c>
      <c r="K248" s="1219">
        <f>+K200+K247</f>
        <v/>
      </c>
      <c r="L248" s="1219">
        <f>+L200+L247</f>
        <v/>
      </c>
      <c r="M248" s="1219">
        <f>+M200+M247</f>
        <v/>
      </c>
      <c r="N248" s="1219">
        <f>+N200+N247</f>
        <v/>
      </c>
    </row>
    <row r="249" outlineLevel="1" ht="15" customHeight="1">
      <c r="A249" s="307" t="n"/>
      <c r="B249" s="1" t="inlineStr">
        <is>
          <t>Tax</t>
        </is>
      </c>
      <c r="I249" s="1218">
        <f>+I248*-$L$15</f>
        <v/>
      </c>
      <c r="J249" s="1219">
        <f>+J248*-$L$15</f>
        <v/>
      </c>
      <c r="K249" s="1219">
        <f>+K248*-$L$15</f>
        <v/>
      </c>
      <c r="L249" s="1219">
        <f>+L248*-$L$15</f>
        <v/>
      </c>
      <c r="M249" s="1219">
        <f>+M248*-$L$15</f>
        <v/>
      </c>
      <c r="N249" s="1219">
        <f>+N248*-$L$15</f>
        <v/>
      </c>
    </row>
    <row r="250" outlineLevel="1" ht="15" customHeight="1">
      <c r="A250" s="307" t="n"/>
      <c r="I250" s="565" t="n"/>
    </row>
    <row r="251" ht="15" customHeight="1">
      <c r="A251" s="307" t="inlineStr">
        <is>
          <t>x</t>
        </is>
      </c>
      <c r="B251" s="106">
        <f>"Debt Schedule ("&amp;L14&amp;")"</f>
        <v/>
      </c>
      <c r="C251" s="106" t="n"/>
      <c r="D251" s="106" t="n"/>
      <c r="E251" s="107" t="n"/>
      <c r="F251" s="107" t="n"/>
      <c r="G251" s="107" t="n"/>
      <c r="H251" s="107" t="n"/>
      <c r="I251" s="572" t="n"/>
      <c r="J251" s="107" t="n"/>
      <c r="K251" s="107" t="n"/>
      <c r="L251" s="107" t="n"/>
      <c r="M251" s="107" t="n"/>
      <c r="N251" s="107" t="n"/>
      <c r="O251" s="289" t="n"/>
    </row>
    <row r="252" ht="15" customHeight="1">
      <c r="A252" s="307" t="n"/>
      <c r="I252" s="562">
        <f>+$F$40</f>
        <v/>
      </c>
      <c r="J252" s="84">
        <f>+I252+1</f>
        <v/>
      </c>
      <c r="K252" s="84">
        <f>J252+1</f>
        <v/>
      </c>
      <c r="L252" s="84">
        <f>K252+1</f>
        <v/>
      </c>
      <c r="M252" s="84">
        <f>L252+1</f>
        <v/>
      </c>
      <c r="N252" s="84">
        <f>M252+1</f>
        <v/>
      </c>
      <c r="O252" s="84" t="n"/>
    </row>
    <row r="253" ht="15" customHeight="1">
      <c r="A253" s="307" t="n"/>
      <c r="I253" s="1192">
        <f>+$F$38</f>
        <v/>
      </c>
      <c r="J253" s="14" t="n"/>
    </row>
    <row r="254" ht="15" customHeight="1">
      <c r="A254" s="307" t="n"/>
      <c r="B254" s="68">
        <f>+$B$157</f>
        <v/>
      </c>
      <c r="C254" s="68" t="n"/>
      <c r="D254" s="68" t="n"/>
      <c r="E254" s="68" t="n"/>
      <c r="F254" s="1193" t="n"/>
      <c r="G254" s="1193" t="n"/>
      <c r="H254" s="1193" t="inlineStr">
        <is>
          <t>Opening</t>
        </is>
      </c>
      <c r="I254" s="1195">
        <f>H$157</f>
        <v/>
      </c>
      <c r="J254" s="1193">
        <f>J$157</f>
        <v/>
      </c>
      <c r="K254" s="1193">
        <f>K$157</f>
        <v/>
      </c>
      <c r="L254" s="1193">
        <f>L$157</f>
        <v/>
      </c>
      <c r="M254" s="1193">
        <f>M$157</f>
        <v/>
      </c>
      <c r="N254" s="1193">
        <f>N$157</f>
        <v/>
      </c>
      <c r="O254" s="1180" t="n"/>
    </row>
    <row r="255" ht="15" customHeight="1">
      <c r="A255" s="307" t="n"/>
      <c r="I255" s="565" t="n"/>
    </row>
    <row r="256" ht="15" customHeight="1">
      <c r="A256" s="307" t="n"/>
      <c r="B256" s="382" t="inlineStr">
        <is>
          <t>Summary - bank debt</t>
        </is>
      </c>
      <c r="C256" s="383" t="n"/>
      <c r="D256" s="383" t="n"/>
      <c r="E256" s="383" t="n"/>
      <c r="F256" s="383" t="n"/>
      <c r="G256" s="383" t="n"/>
      <c r="H256" s="383" t="n"/>
      <c r="I256" s="581" t="n"/>
      <c r="J256" s="383" t="n"/>
      <c r="K256" s="383" t="n"/>
      <c r="L256" s="383" t="n"/>
      <c r="M256" s="383" t="n"/>
      <c r="N256" s="384" t="n"/>
      <c r="O256" s="2" t="n"/>
    </row>
    <row r="257" ht="15" customHeight="1">
      <c r="A257" s="307" t="n"/>
      <c r="B257" s="306">
        <f>+B264</f>
        <v/>
      </c>
      <c r="H257" s="1062">
        <f>+H268</f>
        <v/>
      </c>
      <c r="I257" s="1206">
        <f>+I268</f>
        <v/>
      </c>
      <c r="J257" s="1062">
        <f>+J268</f>
        <v/>
      </c>
      <c r="K257" s="1062">
        <f>+K268</f>
        <v/>
      </c>
      <c r="L257" s="1062">
        <f>+L268</f>
        <v/>
      </c>
      <c r="M257" s="1062">
        <f>+M268</f>
        <v/>
      </c>
      <c r="N257" s="1225">
        <f>+N268</f>
        <v/>
      </c>
      <c r="O257" s="1062" t="n"/>
    </row>
    <row r="258" ht="15" customHeight="1">
      <c r="A258" s="307" t="n"/>
      <c r="B258" s="306">
        <f>+B272</f>
        <v/>
      </c>
      <c r="H258" s="1062">
        <f>+H276</f>
        <v/>
      </c>
      <c r="I258" s="1206">
        <f>+I276</f>
        <v/>
      </c>
      <c r="J258" s="1062">
        <f>+J276</f>
        <v/>
      </c>
      <c r="K258" s="1062">
        <f>+K276</f>
        <v/>
      </c>
      <c r="L258" s="1062">
        <f>+L276</f>
        <v/>
      </c>
      <c r="M258" s="1062">
        <f>+M276</f>
        <v/>
      </c>
      <c r="N258" s="1225">
        <f>+N276</f>
        <v/>
      </c>
      <c r="O258" s="1062" t="n"/>
    </row>
    <row r="259" ht="15" customHeight="1">
      <c r="A259" s="307" t="n"/>
      <c r="B259" s="306">
        <f>+B278</f>
        <v/>
      </c>
      <c r="H259" s="1062">
        <f>+H282</f>
        <v/>
      </c>
      <c r="I259" s="1206">
        <f>+I282</f>
        <v/>
      </c>
      <c r="J259" s="1062">
        <f>+J282</f>
        <v/>
      </c>
      <c r="K259" s="1062">
        <f>+K282</f>
        <v/>
      </c>
      <c r="L259" s="1062">
        <f>+L282</f>
        <v/>
      </c>
      <c r="M259" s="1062">
        <f>+M282</f>
        <v/>
      </c>
      <c r="N259" s="1225">
        <f>+N282</f>
        <v/>
      </c>
      <c r="O259" s="1062" t="n"/>
    </row>
    <row r="260" ht="15" customHeight="1">
      <c r="A260" s="307" t="n"/>
      <c r="B260" s="20">
        <f>+B284</f>
        <v/>
      </c>
      <c r="C260" s="5" t="n"/>
      <c r="D260" s="5" t="n"/>
      <c r="E260" s="5" t="n"/>
      <c r="F260" s="5" t="n"/>
      <c r="G260" s="5" t="n"/>
      <c r="H260" s="1226">
        <f>+H287</f>
        <v/>
      </c>
      <c r="I260" s="1227">
        <f>+I287</f>
        <v/>
      </c>
      <c r="J260" s="1226">
        <f>+J287</f>
        <v/>
      </c>
      <c r="K260" s="1226">
        <f>+K287</f>
        <v/>
      </c>
      <c r="L260" s="1226">
        <f>+L287</f>
        <v/>
      </c>
      <c r="M260" s="1226">
        <f>+M287</f>
        <v/>
      </c>
      <c r="N260" s="1228">
        <f>+N287</f>
        <v/>
      </c>
      <c r="O260" s="1062" t="n"/>
    </row>
    <row r="261" ht="15" customHeight="1">
      <c r="A261" s="307" t="n"/>
      <c r="B261" s="387" t="inlineStr">
        <is>
          <t>Gross Debt</t>
        </is>
      </c>
      <c r="C261" s="121" t="n"/>
      <c r="D261" s="121" t="n"/>
      <c r="E261" s="121" t="n"/>
      <c r="F261" s="121" t="n"/>
      <c r="G261" s="121" t="n"/>
      <c r="H261" s="1229">
        <f>SUM(H257:H260)</f>
        <v/>
      </c>
      <c r="I261" s="1230">
        <f>SUM(I257:I260)</f>
        <v/>
      </c>
      <c r="J261" s="1229">
        <f>SUM(J257:J260)</f>
        <v/>
      </c>
      <c r="K261" s="1229">
        <f>SUM(K257:K260)</f>
        <v/>
      </c>
      <c r="L261" s="1229">
        <f>SUM(L257:L260)</f>
        <v/>
      </c>
      <c r="M261" s="1229">
        <f>SUM(M257:M260)</f>
        <v/>
      </c>
      <c r="N261" s="1231">
        <f>SUM(N257:N260)</f>
        <v/>
      </c>
      <c r="O261" s="1173" t="n"/>
    </row>
    <row r="262" ht="15" customHeight="1">
      <c r="A262" s="307" t="n"/>
      <c r="B262" s="288" t="inlineStr">
        <is>
          <t>Net Debt</t>
        </is>
      </c>
      <c r="C262" s="122" t="n"/>
      <c r="D262" s="122" t="n"/>
      <c r="E262" s="122" t="n"/>
      <c r="F262" s="122" t="n"/>
      <c r="G262" s="122" t="n"/>
      <c r="H262" s="1232">
        <f>+H261-H235</f>
        <v/>
      </c>
      <c r="I262" s="1233">
        <f>+I261-I235</f>
        <v/>
      </c>
      <c r="J262" s="1232">
        <f>+J261-J235</f>
        <v/>
      </c>
      <c r="K262" s="1232">
        <f>+K261-K235</f>
        <v/>
      </c>
      <c r="L262" s="1232">
        <f>+L261-L235</f>
        <v/>
      </c>
      <c r="M262" s="1232">
        <f>+M261-M235</f>
        <v/>
      </c>
      <c r="N262" s="1234">
        <f>+N261-N235</f>
        <v/>
      </c>
      <c r="O262" s="1173" t="n"/>
    </row>
    <row r="263" ht="15" customHeight="1">
      <c r="A263" s="307" t="n"/>
      <c r="B263" s="90" t="n"/>
      <c r="G263" s="1062" t="n"/>
      <c r="H263" s="1062" t="n"/>
      <c r="I263" s="1206" t="n"/>
      <c r="J263" s="1062">
        <f>J261/J181</f>
        <v/>
      </c>
      <c r="K263" s="1062">
        <f>K261/K181</f>
        <v/>
      </c>
      <c r="L263" s="1062">
        <f>L261/L181</f>
        <v/>
      </c>
      <c r="M263" s="1062">
        <f>M261/M181</f>
        <v/>
      </c>
      <c r="N263" s="1062">
        <f>N261/N181</f>
        <v/>
      </c>
      <c r="O263" s="1078" t="n"/>
    </row>
    <row r="264" ht="15" customHeight="1">
      <c r="A264" s="307" t="n"/>
      <c r="B264" s="18" t="inlineStr">
        <is>
          <t>RCF</t>
        </is>
      </c>
      <c r="C264" s="18" t="n"/>
      <c r="D264" s="18" t="n"/>
      <c r="E264" s="5" t="n"/>
      <c r="F264" s="5" t="n"/>
      <c r="G264" s="5" t="n"/>
      <c r="H264" s="5" t="n"/>
      <c r="I264" s="585" t="n"/>
      <c r="J264" s="5" t="n"/>
      <c r="K264" s="5" t="n"/>
      <c r="L264" s="5" t="n"/>
      <c r="M264" s="1235" t="n"/>
      <c r="N264" s="1235" t="n"/>
      <c r="O264" s="1236" t="n"/>
    </row>
    <row r="265" ht="15" customHeight="1">
      <c r="A265" s="307" t="n"/>
      <c r="B265" s="1" t="inlineStr">
        <is>
          <t>Opening balance</t>
        </is>
      </c>
      <c r="H265" s="1062" t="n"/>
      <c r="I265" s="1206">
        <f>+H268</f>
        <v/>
      </c>
      <c r="J265" s="1062">
        <f>+I268</f>
        <v/>
      </c>
      <c r="K265" s="1062">
        <f>+J268</f>
        <v/>
      </c>
      <c r="L265" s="1062">
        <f>+K268</f>
        <v/>
      </c>
      <c r="M265" s="1062">
        <f>+L268</f>
        <v/>
      </c>
      <c r="N265" s="1062">
        <f>+M268</f>
        <v/>
      </c>
      <c r="O265" s="1062" t="n"/>
    </row>
    <row r="266" ht="15" customHeight="1">
      <c r="A266" s="307" t="n"/>
      <c r="B266" s="1" t="inlineStr">
        <is>
          <t>Drawdown</t>
        </is>
      </c>
      <c r="H266" s="1062" t="n"/>
      <c r="I266" s="1206">
        <f>+I229</f>
        <v/>
      </c>
      <c r="J266" s="1062">
        <f>+J229</f>
        <v/>
      </c>
      <c r="K266" s="1062">
        <f>+K229</f>
        <v/>
      </c>
      <c r="L266" s="1062">
        <f>+L229</f>
        <v/>
      </c>
      <c r="M266" s="1062">
        <f>+M229</f>
        <v/>
      </c>
      <c r="N266" s="1062">
        <f>+N229</f>
        <v/>
      </c>
      <c r="O266" s="1062" t="n"/>
    </row>
    <row r="267" ht="15" customHeight="1">
      <c r="A267" s="307" t="n"/>
      <c r="B267" s="1" t="inlineStr">
        <is>
          <t>Repayment</t>
        </is>
      </c>
      <c r="H267" s="1062" t="n"/>
      <c r="I267" s="1206">
        <f>+I226</f>
        <v/>
      </c>
      <c r="J267" s="1062">
        <f>+J226</f>
        <v/>
      </c>
      <c r="K267" s="1062">
        <f>+K226</f>
        <v/>
      </c>
      <c r="L267" s="1062">
        <f>+L226</f>
        <v/>
      </c>
      <c r="M267" s="1062">
        <f>+M226</f>
        <v/>
      </c>
      <c r="N267" s="1062">
        <f>+N226</f>
        <v/>
      </c>
      <c r="O267" s="1062" t="n"/>
    </row>
    <row r="268" ht="15" customHeight="1">
      <c r="A268" s="307" t="n"/>
      <c r="B268" s="1" t="inlineStr">
        <is>
          <t>Closing balance</t>
        </is>
      </c>
      <c r="H268" s="1196" t="n">
        <v>0</v>
      </c>
      <c r="I268" s="1206">
        <f>SUM(I265:I267)</f>
        <v/>
      </c>
      <c r="J268" s="1062">
        <f>SUM(J265:J267)</f>
        <v/>
      </c>
      <c r="K268" s="1062">
        <f>SUM(K265:K267)</f>
        <v/>
      </c>
      <c r="L268" s="1062">
        <f>SUM(L265:L267)</f>
        <v/>
      </c>
      <c r="M268" s="1062">
        <f>SUM(M265:M267)</f>
        <v/>
      </c>
      <c r="N268" s="1062">
        <f>SUM(N265:N267)</f>
        <v/>
      </c>
      <c r="O268" s="1062" t="n"/>
    </row>
    <row r="269" ht="15" customHeight="1">
      <c r="A269" s="307" t="n"/>
      <c r="B269" s="1" t="inlineStr">
        <is>
          <t>Average balance</t>
        </is>
      </c>
      <c r="H269" s="1237" t="n"/>
      <c r="I269" s="1206">
        <f>AVERAGE(I265,I268)</f>
        <v/>
      </c>
      <c r="J269" s="1062">
        <f>AVERAGE(J265,J268)</f>
        <v/>
      </c>
      <c r="K269" s="1062">
        <f>AVERAGE(K265,K268)</f>
        <v/>
      </c>
      <c r="L269" s="1062">
        <f>AVERAGE(L265,L268)</f>
        <v/>
      </c>
      <c r="M269" s="1062">
        <f>AVERAGE(M265,M268)</f>
        <v/>
      </c>
      <c r="N269" s="1062">
        <f>AVERAGE(N265,N268)</f>
        <v/>
      </c>
      <c r="O269" s="1062" t="n"/>
    </row>
    <row r="270" ht="15" customHeight="1">
      <c r="A270" s="307" t="n"/>
      <c r="B270" s="1" t="inlineStr">
        <is>
          <t>RCF available to draw down</t>
        </is>
      </c>
      <c r="H270" s="1062">
        <f>+$E$14-H268</f>
        <v/>
      </c>
      <c r="I270" s="1206">
        <f>MAX(+$E$14-I265,0)</f>
        <v/>
      </c>
      <c r="J270" s="1062">
        <f>MAX(+$E$14-J265,0)</f>
        <v/>
      </c>
      <c r="K270" s="1062">
        <f>MAX(+$E$14-K265,0)</f>
        <v/>
      </c>
      <c r="L270" s="1062">
        <f>MAX(+$E$14-L265,0)</f>
        <v/>
      </c>
      <c r="M270" s="1062">
        <f>MAX(+$E$14-M265,0)</f>
        <v/>
      </c>
      <c r="N270" s="1062">
        <f>MAX(+$E$14-N265,0)</f>
        <v/>
      </c>
      <c r="O270" s="1062" t="n"/>
    </row>
    <row r="271" ht="15" customHeight="1">
      <c r="A271" s="307" t="n"/>
      <c r="I271" s="565" t="n"/>
    </row>
    <row r="272" outlineLevel="1" ht="15" customHeight="1">
      <c r="A272" s="307" t="n"/>
      <c r="B272" s="1238">
        <f>+B15</f>
        <v/>
      </c>
      <c r="C272" s="18" t="n"/>
      <c r="D272" s="18" t="n"/>
      <c r="E272" s="5" t="n"/>
      <c r="F272" s="5" t="n"/>
      <c r="G272" s="5" t="n"/>
      <c r="H272" s="5" t="n"/>
      <c r="I272" s="585" t="n"/>
      <c r="J272" s="5" t="n"/>
      <c r="K272" s="5" t="n"/>
      <c r="L272" s="5" t="n"/>
      <c r="M272" s="5" t="n"/>
      <c r="N272" s="5" t="n"/>
    </row>
    <row r="273" outlineLevel="1" ht="15" customHeight="1">
      <c r="A273" s="307" t="n"/>
      <c r="B273" s="1" t="inlineStr">
        <is>
          <t>Opening balance</t>
        </is>
      </c>
      <c r="I273" s="1206">
        <f>H276</f>
        <v/>
      </c>
      <c r="J273" s="1062">
        <f>I276</f>
        <v/>
      </c>
      <c r="K273" s="1062">
        <f>J276</f>
        <v/>
      </c>
      <c r="L273" s="1062">
        <f>K276</f>
        <v/>
      </c>
      <c r="M273" s="1062">
        <f>L276</f>
        <v/>
      </c>
      <c r="N273" s="1062">
        <f>M276</f>
        <v/>
      </c>
      <c r="O273" s="1062" t="n"/>
    </row>
    <row r="274" outlineLevel="1" ht="15" customHeight="1">
      <c r="A274" s="307" t="n"/>
      <c r="B274" s="1" t="inlineStr">
        <is>
          <t>Repayment profile</t>
        </is>
      </c>
      <c r="I274" s="1239" t="n"/>
      <c r="J274" s="1240" t="n"/>
      <c r="K274" s="1067" t="n"/>
      <c r="L274" s="1067" t="n"/>
      <c r="M274" s="1067" t="n"/>
      <c r="N274" s="1067" t="n"/>
      <c r="O274" s="1062" t="n"/>
      <c r="R274" s="14" t="n"/>
      <c r="S274" s="14" t="n"/>
      <c r="T274" s="14" t="n"/>
      <c r="U274" s="14" t="n"/>
      <c r="V274" s="14" t="n"/>
      <c r="W274" s="14" t="n"/>
      <c r="X274" s="14" t="n"/>
    </row>
    <row r="275" outlineLevel="1" ht="15" customHeight="1">
      <c r="A275" s="307" t="n"/>
      <c r="B275" s="1" t="inlineStr">
        <is>
          <t>Amortisation</t>
        </is>
      </c>
      <c r="I275" s="1206">
        <f>-MIN(I273,I274*$H276)</f>
        <v/>
      </c>
      <c r="J275" s="1062">
        <f>-MIN(J273,J274*$H276)</f>
        <v/>
      </c>
      <c r="K275" s="1062">
        <f>-MIN(K273,K274*$H276)</f>
        <v/>
      </c>
      <c r="L275" s="1062">
        <f>-MIN(L273,L274*$H276)</f>
        <v/>
      </c>
      <c r="M275" s="1062">
        <f>-MIN(M273,M274*$H276)</f>
        <v/>
      </c>
      <c r="N275" s="1062">
        <f>-MIN(N273,N274*$H276)</f>
        <v/>
      </c>
      <c r="O275" s="1062" t="n"/>
    </row>
    <row r="276" outlineLevel="1" ht="15" customFormat="1" customHeight="1" s="21">
      <c r="A276" s="459" t="n"/>
      <c r="B276" s="21" t="inlineStr">
        <is>
          <t>Closing balance</t>
        </is>
      </c>
      <c r="G276" s="1079" t="n"/>
      <c r="H276" s="1171">
        <f>+E15</f>
        <v/>
      </c>
      <c r="I276" s="1217">
        <f>+I273+I275</f>
        <v/>
      </c>
      <c r="J276" s="1171">
        <f>+J273+J275</f>
        <v/>
      </c>
      <c r="K276" s="1171">
        <f>+K273+K275</f>
        <v/>
      </c>
      <c r="L276" s="1171">
        <f>+L273+L275</f>
        <v/>
      </c>
      <c r="M276" s="1171">
        <f>+M273+M275</f>
        <v/>
      </c>
      <c r="N276" s="1171">
        <f>+N273+N275</f>
        <v/>
      </c>
      <c r="O276" s="1171" t="n"/>
      <c r="P276" s="1" t="n"/>
    </row>
    <row r="277" outlineLevel="1" ht="15" customHeight="1">
      <c r="A277" s="307" t="n"/>
      <c r="I277" s="1197" t="n"/>
      <c r="J277" s="1198" t="n"/>
      <c r="K277" s="1198" t="n"/>
      <c r="L277" s="1198" t="n"/>
      <c r="M277" s="1198" t="n"/>
      <c r="N277" s="1198" t="n"/>
      <c r="O277" s="1198" t="n"/>
    </row>
    <row r="278" ht="15" customHeight="1">
      <c r="A278" s="307" t="n"/>
      <c r="B278" s="1238">
        <f>+B16</f>
        <v/>
      </c>
      <c r="C278" s="18" t="n"/>
      <c r="D278" s="18" t="n"/>
      <c r="E278" s="5" t="n"/>
      <c r="F278" s="5" t="n"/>
      <c r="G278" s="5" t="n"/>
      <c r="H278" s="5" t="n"/>
      <c r="I278" s="585" t="n"/>
      <c r="J278" s="5" t="n"/>
      <c r="K278" s="5" t="n"/>
      <c r="L278" s="5" t="n"/>
      <c r="M278" s="5" t="n"/>
      <c r="N278" s="5" t="n"/>
    </row>
    <row r="279" ht="15" customHeight="1">
      <c r="A279" s="307" t="n"/>
      <c r="B279" s="1" t="inlineStr">
        <is>
          <t>Opening balance</t>
        </is>
      </c>
      <c r="I279" s="1206">
        <f>H282</f>
        <v/>
      </c>
      <c r="J279" s="1062">
        <f>I282</f>
        <v/>
      </c>
      <c r="K279" s="1062">
        <f>J282</f>
        <v/>
      </c>
      <c r="L279" s="1062">
        <f>K282</f>
        <v/>
      </c>
      <c r="M279" s="1062">
        <f>L282</f>
        <v/>
      </c>
      <c r="N279" s="1062">
        <f>M282</f>
        <v/>
      </c>
      <c r="O279" s="1062" t="n"/>
    </row>
    <row r="280" ht="15" customHeight="1">
      <c r="A280" s="307" t="n"/>
      <c r="B280" s="1" t="inlineStr">
        <is>
          <t>Repayment profile</t>
        </is>
      </c>
      <c r="I280" s="573" t="n"/>
      <c r="J280" s="22" t="n"/>
      <c r="K280" s="22" t="n"/>
      <c r="L280" s="22" t="n"/>
      <c r="M280" s="22" t="n"/>
      <c r="N280" s="22" t="n"/>
      <c r="O280" s="1062" t="n"/>
    </row>
    <row r="281" ht="15" customHeight="1">
      <c r="A281" s="307" t="n"/>
      <c r="B281" s="1" t="inlineStr">
        <is>
          <t>Amortisation</t>
        </is>
      </c>
      <c r="H281" s="1062" t="n"/>
      <c r="I281" s="1206">
        <f>-MIN(I279,I280*$H282)</f>
        <v/>
      </c>
      <c r="J281" s="1062">
        <f>-MIN(J279,J280*$H282)</f>
        <v/>
      </c>
      <c r="K281" s="1062">
        <f>-MIN(K279,K280*$H282)</f>
        <v/>
      </c>
      <c r="L281" s="1062">
        <f>-MIN(L279,L280*$H282)</f>
        <v/>
      </c>
      <c r="M281" s="1062">
        <f>-MIN(M279,M280*$H282)</f>
        <v/>
      </c>
      <c r="N281" s="1062">
        <f>-MIN(N279,N280*$H282)</f>
        <v/>
      </c>
      <c r="O281" s="1062" t="n"/>
    </row>
    <row r="282" ht="15" customHeight="1">
      <c r="A282" s="307" t="n"/>
      <c r="B282" s="21" t="inlineStr">
        <is>
          <t>Closing balance</t>
        </is>
      </c>
      <c r="C282" s="21" t="n"/>
      <c r="D282" s="21" t="n"/>
      <c r="E282" s="21" t="n"/>
      <c r="F282" s="21" t="n"/>
      <c r="G282" s="21" t="n"/>
      <c r="H282" s="1171">
        <f>+E16</f>
        <v/>
      </c>
      <c r="I282" s="1217">
        <f>+I279+I281</f>
        <v/>
      </c>
      <c r="J282" s="1171">
        <f>+J279+J281</f>
        <v/>
      </c>
      <c r="K282" s="1171">
        <f>+K279+K281</f>
        <v/>
      </c>
      <c r="L282" s="1171">
        <f>+L279+L281</f>
        <v/>
      </c>
      <c r="M282" s="1171">
        <f>+M279+M281</f>
        <v/>
      </c>
      <c r="N282" s="1171">
        <f>+N279+N281</f>
        <v/>
      </c>
      <c r="O282" s="1171" t="n"/>
    </row>
    <row r="283" ht="15" customHeight="1">
      <c r="A283" s="307" t="n"/>
      <c r="H283" s="1062" t="n"/>
      <c r="I283" s="1206" t="n"/>
      <c r="J283" s="1062" t="n"/>
      <c r="K283" s="1062" t="n"/>
      <c r="L283" s="1062" t="n"/>
      <c r="M283" s="1062" t="n"/>
      <c r="N283" s="1062" t="n"/>
      <c r="O283" s="1062" t="n"/>
    </row>
    <row r="284" ht="15" customHeight="1">
      <c r="A284" s="307" t="n"/>
      <c r="B284" s="18">
        <f>B17</f>
        <v/>
      </c>
      <c r="C284" s="18" t="n"/>
      <c r="D284" s="18" t="n"/>
      <c r="E284" s="5" t="n"/>
      <c r="F284" s="5" t="n"/>
      <c r="G284" s="5" t="n"/>
      <c r="H284" s="5" t="n"/>
      <c r="I284" s="1241" t="n"/>
      <c r="J284" s="1242" t="n"/>
      <c r="K284" s="1242" t="n"/>
      <c r="L284" s="1242" t="n"/>
      <c r="M284" s="1242" t="n"/>
      <c r="N284" s="1242" t="n"/>
      <c r="O284" s="1198" t="n"/>
    </row>
    <row r="285" ht="15" customHeight="1">
      <c r="A285" s="307" t="n"/>
      <c r="B285" s="1" t="inlineStr">
        <is>
          <t>Opening balance</t>
        </is>
      </c>
      <c r="H285" s="1062" t="n"/>
      <c r="I285" s="1206">
        <f>H287</f>
        <v/>
      </c>
      <c r="J285" s="1062">
        <f>I287</f>
        <v/>
      </c>
      <c r="K285" s="1062">
        <f>J287</f>
        <v/>
      </c>
      <c r="L285" s="1062">
        <f>K287</f>
        <v/>
      </c>
      <c r="M285" s="1062">
        <f>L287</f>
        <v/>
      </c>
      <c r="N285" s="1062">
        <f>M287</f>
        <v/>
      </c>
      <c r="O285" s="1062" t="n"/>
    </row>
    <row r="286" ht="15" customHeight="1">
      <c r="A286" s="307" t="n"/>
      <c r="B286" s="1" t="inlineStr">
        <is>
          <t>Drawdown</t>
        </is>
      </c>
      <c r="I286" s="1197">
        <f>+MIN(I293,-I220)</f>
        <v/>
      </c>
      <c r="J286" s="1198">
        <f>+MIN(J293,-J220)</f>
        <v/>
      </c>
      <c r="K286" s="1198">
        <f>+MIN(K293,-K220)</f>
        <v/>
      </c>
      <c r="L286" s="1198">
        <f>+MIN(L293,-L220)</f>
        <v/>
      </c>
      <c r="M286" s="1198">
        <f>+MIN(M293,-M220)</f>
        <v/>
      </c>
      <c r="N286" s="1198">
        <f>+MIN(N293,-N220)</f>
        <v/>
      </c>
      <c r="O286" s="1062" t="n"/>
      <c r="P286" s="30" t="inlineStr">
        <is>
          <t>No cap on ACF - misalligned with commitment fees. Implicit accumption that incremntal debt secured as need via accordion</t>
        </is>
      </c>
    </row>
    <row r="287" ht="15" customFormat="1" customHeight="1" s="21">
      <c r="A287" s="459" t="n"/>
      <c r="B287" s="21" t="inlineStr">
        <is>
          <t>Closing balance</t>
        </is>
      </c>
      <c r="G287" s="7" t="inlineStr">
        <is>
          <t>Day 1</t>
        </is>
      </c>
      <c r="H287" s="1196">
        <f>+N66</f>
        <v/>
      </c>
      <c r="I287" s="1217">
        <f>+I285+I286</f>
        <v/>
      </c>
      <c r="J287" s="1171">
        <f>+J285+J286</f>
        <v/>
      </c>
      <c r="K287" s="1171">
        <f>+K285+K286</f>
        <v/>
      </c>
      <c r="L287" s="1171">
        <f>+L285+L286</f>
        <v/>
      </c>
      <c r="M287" s="1171">
        <f>+M285+M286</f>
        <v/>
      </c>
      <c r="N287" s="1171">
        <f>+N285+N286</f>
        <v/>
      </c>
      <c r="O287" s="1171" t="n"/>
      <c r="P287" s="1" t="n"/>
    </row>
    <row r="288" ht="15" customFormat="1" customHeight="1" s="21">
      <c r="A288" s="459" t="n"/>
      <c r="B288" s="1" t="inlineStr">
        <is>
          <t>Average balance</t>
        </is>
      </c>
      <c r="G288" s="7" t="n"/>
      <c r="H288" s="1243" t="n"/>
      <c r="I288" s="1206">
        <f>AVERAGE(I285,I287)</f>
        <v/>
      </c>
      <c r="J288" s="1171">
        <f>AVERAGE(J285,J287)</f>
        <v/>
      </c>
      <c r="K288" s="1171">
        <f>AVERAGE(K285,K287)</f>
        <v/>
      </c>
      <c r="L288" s="1171">
        <f>AVERAGE(L285,L287)</f>
        <v/>
      </c>
      <c r="M288" s="1171">
        <f>AVERAGE(M285,M287)</f>
        <v/>
      </c>
      <c r="N288" s="1171">
        <f>AVERAGE(N285,N287)</f>
        <v/>
      </c>
      <c r="O288" s="1171" t="n"/>
      <c r="P288" s="1" t="n"/>
    </row>
    <row r="289" ht="15" customFormat="1" customHeight="1" s="21">
      <c r="A289" s="459" t="n"/>
      <c r="G289" s="7" t="n"/>
      <c r="H289" s="7" t="n"/>
      <c r="I289" s="1217" t="n"/>
      <c r="J289" s="1171" t="n"/>
      <c r="K289" s="1171" t="n"/>
      <c r="L289" s="1171" t="n"/>
      <c r="M289" s="1171" t="n"/>
      <c r="N289" s="1171" t="n"/>
      <c r="O289" s="1171" t="n"/>
      <c r="P289" s="1" t="n"/>
    </row>
    <row r="290" ht="15" customFormat="1" customHeight="1" s="7">
      <c r="A290" s="307" t="n"/>
      <c r="B290" s="7" t="inlineStr">
        <is>
          <t>TLA, TLB and opening ACF debt</t>
        </is>
      </c>
      <c r="I290" s="1218">
        <f>+(I276+I282+I285)</f>
        <v/>
      </c>
      <c r="J290" s="1219">
        <f>+(J276+J282+J285)</f>
        <v/>
      </c>
      <c r="K290" s="1219">
        <f>+(K276+K282+K285)</f>
        <v/>
      </c>
      <c r="L290" s="1219">
        <f>+(L276+L282+L285)</f>
        <v/>
      </c>
      <c r="M290" s="1219">
        <f>+(M276+M282+M285)</f>
        <v/>
      </c>
      <c r="N290" s="1219">
        <f>+(N276+N282+N285)</f>
        <v/>
      </c>
      <c r="O290" s="1219" t="n"/>
      <c r="P290" s="1" t="n"/>
    </row>
    <row r="291" ht="15" customFormat="1" customHeight="1" s="7">
      <c r="A291" s="307" t="n"/>
      <c r="B291" s="7" t="inlineStr">
        <is>
          <t>Leverage / EBITDA</t>
        </is>
      </c>
      <c r="G291" s="7" t="inlineStr">
        <is>
          <t>Cap</t>
        </is>
      </c>
      <c r="H291" s="1244">
        <f>+$D$21</f>
        <v/>
      </c>
      <c r="I291" s="1218">
        <f>$H$291*H181</f>
        <v/>
      </c>
      <c r="J291" s="1219">
        <f>$H$291*J181</f>
        <v/>
      </c>
      <c r="K291" s="1219">
        <f>$H$291*K181</f>
        <v/>
      </c>
      <c r="L291" s="1219">
        <f>$H$291*L181</f>
        <v/>
      </c>
      <c r="M291" s="1219">
        <f>$H$291*M181</f>
        <v/>
      </c>
      <c r="N291" s="1219">
        <f>$H$291*N181</f>
        <v/>
      </c>
      <c r="O291" s="1219" t="n"/>
      <c r="P291" s="1" t="n"/>
    </row>
    <row r="292" ht="15" customFormat="1" customHeight="1" s="7">
      <c r="A292" s="307" t="n"/>
      <c r="B292" s="7" t="inlineStr">
        <is>
          <t>Debt / Equity</t>
        </is>
      </c>
      <c r="G292" s="7" t="inlineStr">
        <is>
          <t>Cap</t>
        </is>
      </c>
      <c r="H292" s="1244">
        <f>$D$22</f>
        <v/>
      </c>
      <c r="I292" s="1218">
        <f>$H$292*I370</f>
        <v/>
      </c>
      <c r="J292" s="1219">
        <f>$H$292*I373</f>
        <v/>
      </c>
      <c r="K292" s="1219">
        <f>$H$292*J373</f>
        <v/>
      </c>
      <c r="L292" s="1219">
        <f>$H$292*K373</f>
        <v/>
      </c>
      <c r="M292" s="1219">
        <f>$H$292*L373</f>
        <v/>
      </c>
      <c r="N292" s="1219">
        <f>$H$292*M373</f>
        <v/>
      </c>
      <c r="O292" s="1219" t="n"/>
      <c r="P292" s="1" t="n"/>
    </row>
    <row r="293" ht="15" customFormat="1" customHeight="1" s="7">
      <c r="A293" s="307" t="n"/>
      <c r="B293" s="7" t="inlineStr">
        <is>
          <t>Debt capacity</t>
        </is>
      </c>
      <c r="H293" s="1062" t="n"/>
      <c r="I293" s="1245">
        <f>IF($E$22,MAX(MIN(I291,I292)-I290,0),MAX((I291-I290),0))</f>
        <v/>
      </c>
      <c r="J293" s="1219">
        <f>IF($E$22,MAX(MIN(J291,J292)-J290,0),MAX(J291-J290,0))</f>
        <v/>
      </c>
      <c r="K293" s="1219">
        <f>IF($E$22,MAX(MIN(K291,K292)-K290,0),MAX(K291-K290,0))</f>
        <v/>
      </c>
      <c r="L293" s="1219">
        <f>IF($E$22,MAX(MIN(L291,L292)-L290,0),MAX(L291-L290,0))</f>
        <v/>
      </c>
      <c r="M293" s="1219">
        <f>IF($E$22,MAX(MIN(M291,M292)-M290,0),MAX(M291-M290,0))</f>
        <v/>
      </c>
      <c r="N293" s="1219">
        <f>IF($E$22,MAX(MIN(N291,N292)-N290,0),MAX(N291-N290,0))</f>
        <v/>
      </c>
      <c r="O293" s="1219" t="n"/>
      <c r="P293" s="1" t="n"/>
    </row>
    <row r="294" ht="15" customHeight="1">
      <c r="A294" s="307" t="n"/>
      <c r="H294" s="1062" t="n"/>
      <c r="I294" s="1206" t="n"/>
      <c r="J294" s="1062" t="n"/>
      <c r="K294" s="1062" t="n"/>
      <c r="L294" s="1062" t="n"/>
      <c r="M294" s="1062" t="n"/>
      <c r="N294" s="1062" t="n"/>
      <c r="O294" s="1062" t="n"/>
    </row>
    <row r="295" ht="15" customHeight="1">
      <c r="A295" s="307" t="n"/>
      <c r="B295" s="382" t="inlineStr">
        <is>
          <t>Summary - non-lender debt</t>
        </is>
      </c>
      <c r="C295" s="383" t="n"/>
      <c r="D295" s="383" t="n"/>
      <c r="E295" s="383" t="n"/>
      <c r="F295" s="383" t="n"/>
      <c r="G295" s="383" t="n"/>
      <c r="H295" s="383" t="n"/>
      <c r="I295" s="581" t="n"/>
      <c r="J295" s="383" t="n"/>
      <c r="K295" s="383" t="n"/>
      <c r="L295" s="383" t="n"/>
      <c r="M295" s="383" t="n"/>
      <c r="N295" s="384" t="n"/>
      <c r="O295" s="1062" t="n"/>
    </row>
    <row r="296" ht="15" customHeight="1">
      <c r="A296" s="307" t="n"/>
      <c r="B296" s="306" t="inlineStr">
        <is>
          <t>Vendor loan</t>
        </is>
      </c>
      <c r="H296" s="1062">
        <f>+H306</f>
        <v/>
      </c>
      <c r="I296" s="1206">
        <f>+I306</f>
        <v/>
      </c>
      <c r="J296" s="1062">
        <f>+J306</f>
        <v/>
      </c>
      <c r="K296" s="1062">
        <f>+K306</f>
        <v/>
      </c>
      <c r="L296" s="1062">
        <f>+L306</f>
        <v/>
      </c>
      <c r="M296" s="1062">
        <f>+M306</f>
        <v/>
      </c>
      <c r="N296" s="1225">
        <f>+N306</f>
        <v/>
      </c>
      <c r="O296" s="1062" t="n"/>
    </row>
    <row r="297" ht="15" customHeight="1">
      <c r="A297" s="307" t="n"/>
      <c r="B297" s="306" t="inlineStr">
        <is>
          <t>Preferred equity - Blixt</t>
        </is>
      </c>
      <c r="H297" s="1062">
        <f>+H312</f>
        <v/>
      </c>
      <c r="I297" s="1206">
        <f>+I312</f>
        <v/>
      </c>
      <c r="J297" s="1062">
        <f>+J312</f>
        <v/>
      </c>
      <c r="K297" s="1062">
        <f>+K312</f>
        <v/>
      </c>
      <c r="L297" s="1062">
        <f>+L312</f>
        <v/>
      </c>
      <c r="M297" s="1062">
        <f>+M312</f>
        <v/>
      </c>
      <c r="N297" s="1225">
        <f>+N312</f>
        <v/>
      </c>
      <c r="O297" s="1062" t="n"/>
    </row>
    <row r="298" ht="15" customHeight="1">
      <c r="A298" s="307" t="n"/>
      <c r="B298" s="306" t="inlineStr">
        <is>
          <t>Preferred equity - vendor</t>
        </is>
      </c>
      <c r="H298" s="1062">
        <f>+H317</f>
        <v/>
      </c>
      <c r="I298" s="1206">
        <f>+I317</f>
        <v/>
      </c>
      <c r="J298" s="1062">
        <f>+J317</f>
        <v/>
      </c>
      <c r="K298" s="1062">
        <f>+K317</f>
        <v/>
      </c>
      <c r="L298" s="1062">
        <f>+L317</f>
        <v/>
      </c>
      <c r="M298" s="1062">
        <f>+M317</f>
        <v/>
      </c>
      <c r="N298" s="1225">
        <f>+N317</f>
        <v/>
      </c>
      <c r="O298" s="1062" t="n"/>
    </row>
    <row r="299" ht="15" customHeight="1">
      <c r="A299" s="307" t="n"/>
      <c r="B299" s="306" t="inlineStr">
        <is>
          <t>Preferred equity - new management</t>
        </is>
      </c>
      <c r="H299" s="1062">
        <f>+H322</f>
        <v/>
      </c>
      <c r="I299" s="1206">
        <f>+I322</f>
        <v/>
      </c>
      <c r="J299" s="1062">
        <f>+J322</f>
        <v/>
      </c>
      <c r="K299" s="1062">
        <f>+K322</f>
        <v/>
      </c>
      <c r="L299" s="1062">
        <f>+L322</f>
        <v/>
      </c>
      <c r="M299" s="1062">
        <f>+M322</f>
        <v/>
      </c>
      <c r="N299" s="1225">
        <f>+N322</f>
        <v/>
      </c>
      <c r="O299" s="1062" t="n"/>
    </row>
    <row r="300" ht="15" customHeight="1">
      <c r="A300" s="307" t="n"/>
      <c r="B300" s="306" t="inlineStr">
        <is>
          <t>Preferred equity - tuck-in vendors</t>
        </is>
      </c>
      <c r="H300" s="1062">
        <f>H328</f>
        <v/>
      </c>
      <c r="I300" s="1206">
        <f>I328</f>
        <v/>
      </c>
      <c r="J300" s="1062">
        <f>J328</f>
        <v/>
      </c>
      <c r="K300" s="1062">
        <f>K328</f>
        <v/>
      </c>
      <c r="L300" s="1062">
        <f>L328</f>
        <v/>
      </c>
      <c r="M300" s="1062">
        <f>M328</f>
        <v/>
      </c>
      <c r="N300" s="1225">
        <f>N328</f>
        <v/>
      </c>
      <c r="O300" s="1062" t="n"/>
    </row>
    <row r="301" ht="15" customHeight="1">
      <c r="A301" s="307" t="n"/>
      <c r="B301" s="387" t="inlineStr">
        <is>
          <t>Gross Debt</t>
        </is>
      </c>
      <c r="C301" s="121" t="n"/>
      <c r="D301" s="121" t="n"/>
      <c r="E301" s="121" t="n"/>
      <c r="F301" s="121" t="n"/>
      <c r="G301" s="121" t="n"/>
      <c r="H301" s="1229">
        <f>SUM(H296:H300)</f>
        <v/>
      </c>
      <c r="I301" s="1230">
        <f>SUM(I296:I300)</f>
        <v/>
      </c>
      <c r="J301" s="1229">
        <f>SUM(J296:J300)</f>
        <v/>
      </c>
      <c r="K301" s="1229">
        <f>SUM(K296:K300)</f>
        <v/>
      </c>
      <c r="L301" s="1229">
        <f>SUM(L296:L300)</f>
        <v/>
      </c>
      <c r="M301" s="1229">
        <f>SUM(M296:M300)</f>
        <v/>
      </c>
      <c r="N301" s="1231">
        <f>SUM(N296:N300)</f>
        <v/>
      </c>
      <c r="O301" s="1062" t="n"/>
    </row>
    <row r="302" ht="15" customHeight="1">
      <c r="A302" s="307" t="n"/>
      <c r="H302" s="1062" t="n"/>
      <c r="I302" s="1206" t="n"/>
      <c r="J302" s="1062" t="n"/>
      <c r="K302" s="1062" t="n"/>
      <c r="L302" s="1062" t="n"/>
      <c r="M302" s="1062" t="n"/>
      <c r="N302" s="1062" t="n"/>
      <c r="O302" s="1062" t="n"/>
    </row>
    <row r="303" ht="15" customHeight="1">
      <c r="A303" s="307" t="n"/>
      <c r="B303" s="18">
        <f>+B82</f>
        <v/>
      </c>
      <c r="C303" s="18" t="n"/>
      <c r="D303" s="18" t="n"/>
      <c r="E303" s="5" t="n"/>
      <c r="F303" s="5" t="n"/>
      <c r="G303" s="5" t="n"/>
      <c r="H303" s="1226" t="n"/>
      <c r="I303" s="1227" t="n"/>
      <c r="J303" s="1226" t="n"/>
      <c r="K303" s="1226" t="n"/>
      <c r="L303" s="1226" t="n"/>
      <c r="M303" s="1226" t="n"/>
      <c r="N303" s="1226" t="n"/>
      <c r="O303" s="1062" t="n"/>
    </row>
    <row r="304" ht="15" customHeight="1">
      <c r="A304" s="307" t="n"/>
      <c r="B304" s="1" t="inlineStr">
        <is>
          <t>Opening balance</t>
        </is>
      </c>
      <c r="H304" s="1062" t="n"/>
      <c r="I304" s="1206">
        <f>H306</f>
        <v/>
      </c>
      <c r="J304" s="1062">
        <f>I306</f>
        <v/>
      </c>
      <c r="K304" s="1062">
        <f>J306</f>
        <v/>
      </c>
      <c r="L304" s="1062">
        <f>K306</f>
        <v/>
      </c>
      <c r="M304" s="1062">
        <f>L306</f>
        <v/>
      </c>
      <c r="N304" s="1062">
        <f>M306</f>
        <v/>
      </c>
      <c r="O304" s="1062" t="n"/>
    </row>
    <row r="305" ht="15" customHeight="1">
      <c r="A305" s="307" t="n"/>
      <c r="B305" s="1" t="inlineStr">
        <is>
          <t>PIK interest</t>
        </is>
      </c>
      <c r="H305" s="1062" t="n"/>
      <c r="I305" s="1206">
        <f>I304*$G$23*I252</f>
        <v/>
      </c>
      <c r="J305" s="1062">
        <f>J304*$G$23</f>
        <v/>
      </c>
      <c r="K305" s="1062">
        <f>K304*$G$23</f>
        <v/>
      </c>
      <c r="L305" s="1062">
        <f>L304*$G$23</f>
        <v/>
      </c>
      <c r="M305" s="1062">
        <f>M304*$G$23</f>
        <v/>
      </c>
      <c r="N305" s="1062">
        <f>N304*$G$23</f>
        <v/>
      </c>
      <c r="O305" s="1062" t="n"/>
    </row>
    <row r="306" ht="15" customHeight="1">
      <c r="A306" s="307" t="n"/>
      <c r="B306" s="2" t="inlineStr">
        <is>
          <t>Closing balance</t>
        </is>
      </c>
      <c r="C306" s="2" t="n"/>
      <c r="D306" s="2" t="n"/>
      <c r="E306" s="2" t="n"/>
      <c r="F306" s="2" t="n"/>
      <c r="G306" s="2" t="n"/>
      <c r="H306" s="1173">
        <f>E82</f>
        <v/>
      </c>
      <c r="I306" s="1217">
        <f>+I304+I305</f>
        <v/>
      </c>
      <c r="J306" s="1171">
        <f>+J304+J305</f>
        <v/>
      </c>
      <c r="K306" s="1171">
        <f>+K304+K305</f>
        <v/>
      </c>
      <c r="L306" s="1171">
        <f>+L304+L305</f>
        <v/>
      </c>
      <c r="M306" s="1171">
        <f>+M304+M305</f>
        <v/>
      </c>
      <c r="N306" s="1171">
        <f>+N304+N305</f>
        <v/>
      </c>
      <c r="O306" s="1171" t="n"/>
    </row>
    <row r="307" ht="15" customHeight="1">
      <c r="A307" s="307" t="n"/>
      <c r="H307" s="1062" t="n"/>
      <c r="I307" s="1206" t="n"/>
      <c r="J307" s="1062" t="n"/>
      <c r="K307" s="1062" t="n"/>
      <c r="L307" s="1062" t="n"/>
      <c r="M307" s="1062" t="n"/>
      <c r="N307" s="1062" t="n"/>
      <c r="O307" s="1062" t="n"/>
    </row>
    <row r="308" ht="15" customHeight="1">
      <c r="A308" s="307" t="n"/>
      <c r="B308" s="3" t="inlineStr">
        <is>
          <t>Preferred equity - Blixt</t>
        </is>
      </c>
      <c r="C308" s="18" t="n"/>
      <c r="D308" s="18" t="n"/>
      <c r="E308" s="5" t="n"/>
      <c r="F308" s="5" t="n"/>
      <c r="G308" s="5" t="n"/>
      <c r="H308" s="1226" t="n"/>
      <c r="I308" s="1227" t="n"/>
      <c r="J308" s="1226" t="n"/>
      <c r="K308" s="1226" t="n"/>
      <c r="L308" s="1226" t="n"/>
      <c r="M308" s="1226" t="n"/>
      <c r="N308" s="1226" t="n"/>
    </row>
    <row r="309" ht="15" customHeight="1">
      <c r="A309" s="307" t="n"/>
      <c r="B309" s="1" t="inlineStr">
        <is>
          <t>Opening balance</t>
        </is>
      </c>
      <c r="H309" s="1062" t="n"/>
      <c r="I309" s="1206">
        <f>H312</f>
        <v/>
      </c>
      <c r="J309" s="1062">
        <f>I312</f>
        <v/>
      </c>
      <c r="K309" s="1062">
        <f>J312</f>
        <v/>
      </c>
      <c r="L309" s="1062">
        <f>K312</f>
        <v/>
      </c>
      <c r="M309" s="1062">
        <f>L312</f>
        <v/>
      </c>
      <c r="N309" s="1062">
        <f>M312</f>
        <v/>
      </c>
      <c r="O309" s="1062" t="n"/>
    </row>
    <row r="310" ht="15" customHeight="1">
      <c r="A310" s="307" t="n"/>
      <c r="B310" s="1" t="inlineStr">
        <is>
          <t>New equity injections</t>
        </is>
      </c>
      <c r="H310" s="1062" t="n"/>
      <c r="I310" s="1206">
        <f>+Y70</f>
        <v/>
      </c>
      <c r="J310" s="1062">
        <f>+AA70</f>
        <v/>
      </c>
      <c r="K310" s="1062">
        <f>+AC70</f>
        <v/>
      </c>
      <c r="L310" s="1062">
        <f>+AE70</f>
        <v/>
      </c>
      <c r="M310" s="1062">
        <f>+AG70</f>
        <v/>
      </c>
      <c r="N310" s="1062">
        <f>+AI70</f>
        <v/>
      </c>
      <c r="O310" s="1062" t="n"/>
      <c r="P310" s="1136" t="inlineStr">
        <is>
          <t>Assumes 100% of new funding is provided by Blixt, i.e. no pre-emption from other shareholders</t>
        </is>
      </c>
    </row>
    <row r="311" ht="15" customHeight="1">
      <c r="A311" s="307" t="n"/>
      <c r="B311" s="1" t="inlineStr">
        <is>
          <t>PIK interest</t>
        </is>
      </c>
      <c r="H311" s="1062" t="n"/>
      <c r="I311" s="1206">
        <f>I309*$G$24*I252</f>
        <v/>
      </c>
      <c r="J311" s="1062">
        <f>(J309)*$G$24</f>
        <v/>
      </c>
      <c r="K311" s="1062">
        <f>(K309)*$G$24</f>
        <v/>
      </c>
      <c r="L311" s="1062">
        <f>(L309)*$G$24</f>
        <v/>
      </c>
      <c r="M311" s="1062">
        <f>(M309)*$G$24</f>
        <v/>
      </c>
      <c r="N311" s="1062">
        <f>(N309)*$G$24</f>
        <v/>
      </c>
      <c r="O311" s="1062" t="n"/>
      <c r="P311" s="1136" t="inlineStr">
        <is>
          <t>Assumes in year equity injection does not receive PIK to match end of year M&amp;A assumption</t>
        </is>
      </c>
    </row>
    <row r="312" ht="15" customHeight="1">
      <c r="A312" s="307" t="n"/>
      <c r="B312" s="2" t="inlineStr">
        <is>
          <t>Closing balance</t>
        </is>
      </c>
      <c r="C312" s="2" t="n"/>
      <c r="D312" s="2" t="n"/>
      <c r="E312" s="2" t="n"/>
      <c r="F312" s="2" t="n"/>
      <c r="G312" s="2" t="n"/>
      <c r="H312" s="1173">
        <f>+E85</f>
        <v/>
      </c>
      <c r="I312" s="1214">
        <f>SUM(I309:I311)</f>
        <v/>
      </c>
      <c r="J312" s="1173">
        <f>SUM(J309:J311)</f>
        <v/>
      </c>
      <c r="K312" s="1173">
        <f>SUM(K309:K311)</f>
        <v/>
      </c>
      <c r="L312" s="1173">
        <f>SUM(L309:L311)</f>
        <v/>
      </c>
      <c r="M312" s="1173">
        <f>SUM(M309:M311)</f>
        <v/>
      </c>
      <c r="N312" s="1173">
        <f>SUM(N309:N311)</f>
        <v/>
      </c>
      <c r="O312" s="1173" t="n"/>
    </row>
    <row r="313" ht="15" customHeight="1">
      <c r="A313" s="307" t="n"/>
      <c r="B313" s="2" t="n"/>
      <c r="C313" s="2" t="n"/>
      <c r="D313" s="2" t="n"/>
      <c r="E313" s="2" t="n"/>
      <c r="F313" s="2" t="n"/>
      <c r="G313" s="2" t="n"/>
      <c r="H313" s="1173" t="n"/>
      <c r="I313" s="1214" t="n"/>
      <c r="J313" s="1173" t="n"/>
      <c r="K313" s="1173" t="n"/>
      <c r="L313" s="1173" t="n"/>
      <c r="M313" s="1173" t="n"/>
      <c r="N313" s="1173" t="n"/>
      <c r="O313" s="1173" t="n"/>
    </row>
    <row r="314" ht="15" customHeight="1">
      <c r="A314" s="307" t="n"/>
      <c r="B314" s="3" t="inlineStr">
        <is>
          <t>Preferred equity - vendor</t>
        </is>
      </c>
      <c r="C314" s="18" t="n"/>
      <c r="D314" s="18" t="n"/>
      <c r="E314" s="5" t="n"/>
      <c r="F314" s="5" t="n"/>
      <c r="G314" s="5" t="n"/>
      <c r="H314" s="1226" t="n"/>
      <c r="I314" s="1227" t="n"/>
      <c r="J314" s="1226" t="n"/>
      <c r="K314" s="1226" t="n"/>
      <c r="L314" s="1226" t="n"/>
      <c r="M314" s="1226" t="n"/>
      <c r="N314" s="1226" t="n"/>
      <c r="O314" s="1173" t="n"/>
    </row>
    <row r="315" ht="15" customHeight="1">
      <c r="A315" s="307" t="n"/>
      <c r="B315" s="1" t="inlineStr">
        <is>
          <t>Opening balance</t>
        </is>
      </c>
      <c r="H315" s="1062" t="n"/>
      <c r="I315" s="1206">
        <f>H317</f>
        <v/>
      </c>
      <c r="J315" s="1062">
        <f>I317</f>
        <v/>
      </c>
      <c r="K315" s="1062">
        <f>J317</f>
        <v/>
      </c>
      <c r="L315" s="1062">
        <f>K317</f>
        <v/>
      </c>
      <c r="M315" s="1062">
        <f>L317</f>
        <v/>
      </c>
      <c r="N315" s="1062">
        <f>M317</f>
        <v/>
      </c>
      <c r="O315" s="1173" t="n"/>
    </row>
    <row r="316" ht="15" customHeight="1">
      <c r="A316" s="307" t="n"/>
      <c r="B316" s="1" t="inlineStr">
        <is>
          <t>PIK interest</t>
        </is>
      </c>
      <c r="H316" s="1062" t="n"/>
      <c r="I316" s="1206">
        <f>I315*$G$25*I252</f>
        <v/>
      </c>
      <c r="J316" s="1062">
        <f>J315*$G$25</f>
        <v/>
      </c>
      <c r="K316" s="1062">
        <f>K315*$G$25</f>
        <v/>
      </c>
      <c r="L316" s="1062">
        <f>L315*$G$25</f>
        <v/>
      </c>
      <c r="M316" s="1062">
        <f>M315*$G$25</f>
        <v/>
      </c>
      <c r="N316" s="1062">
        <f>N315*$G$25</f>
        <v/>
      </c>
      <c r="O316" s="1173" t="n"/>
    </row>
    <row r="317" ht="15" customHeight="1">
      <c r="A317" s="307" t="n"/>
      <c r="B317" s="2" t="inlineStr">
        <is>
          <t>Closing balance</t>
        </is>
      </c>
      <c r="C317" s="2" t="n"/>
      <c r="D317" s="2" t="n"/>
      <c r="E317" s="2" t="n"/>
      <c r="F317" s="2" t="n"/>
      <c r="G317" s="2" t="n"/>
      <c r="H317" s="1173">
        <f>+E86</f>
        <v/>
      </c>
      <c r="I317" s="1214">
        <f>SUM(I315:I316)</f>
        <v/>
      </c>
      <c r="J317" s="1173">
        <f>SUM(J315:J316)</f>
        <v/>
      </c>
      <c r="K317" s="1173">
        <f>SUM(K315:K316)</f>
        <v/>
      </c>
      <c r="L317" s="1173">
        <f>SUM(L315:L316)</f>
        <v/>
      </c>
      <c r="M317" s="1173">
        <f>SUM(M315:M316)</f>
        <v/>
      </c>
      <c r="N317" s="1173">
        <f>SUM(N315:N316)</f>
        <v/>
      </c>
      <c r="O317" s="1173" t="n"/>
    </row>
    <row r="318" ht="15" customHeight="1">
      <c r="A318" s="307" t="n"/>
      <c r="I318" s="1197" t="n"/>
      <c r="J318" s="1198" t="n"/>
      <c r="K318" s="1198" t="n"/>
      <c r="L318" s="1198" t="n"/>
      <c r="M318" s="1198" t="n"/>
      <c r="N318" s="1198" t="n"/>
      <c r="O318" s="1198" t="n"/>
    </row>
    <row r="319" ht="15" customHeight="1">
      <c r="A319" s="307" t="n"/>
      <c r="B319" s="3" t="inlineStr">
        <is>
          <t>Preferred equity - new management</t>
        </is>
      </c>
      <c r="C319" s="18" t="n"/>
      <c r="D319" s="18" t="n"/>
      <c r="E319" s="5" t="n"/>
      <c r="F319" s="5" t="n"/>
      <c r="G319" s="5" t="n"/>
      <c r="H319" s="1226" t="n"/>
      <c r="I319" s="1227" t="n"/>
      <c r="J319" s="1226" t="n"/>
      <c r="K319" s="1226" t="n"/>
      <c r="L319" s="1226" t="n"/>
      <c r="M319" s="1226" t="n"/>
      <c r="N319" s="1226" t="n"/>
      <c r="O319" s="1198" t="n"/>
    </row>
    <row r="320" ht="15" customHeight="1">
      <c r="A320" s="307" t="n"/>
      <c r="B320" s="1" t="inlineStr">
        <is>
          <t>Opening balance</t>
        </is>
      </c>
      <c r="H320" s="1062" t="n"/>
      <c r="I320" s="1206">
        <f>H322</f>
        <v/>
      </c>
      <c r="J320" s="1062">
        <f>I322</f>
        <v/>
      </c>
      <c r="K320" s="1062">
        <f>J322</f>
        <v/>
      </c>
      <c r="L320" s="1062">
        <f>K322</f>
        <v/>
      </c>
      <c r="M320" s="1062">
        <f>L322</f>
        <v/>
      </c>
      <c r="N320" s="1062">
        <f>M322</f>
        <v/>
      </c>
      <c r="O320" s="1198" t="n"/>
    </row>
    <row r="321" ht="15" customHeight="1">
      <c r="A321" s="307" t="n"/>
      <c r="B321" s="1" t="inlineStr">
        <is>
          <t>PIK interest</t>
        </is>
      </c>
      <c r="H321" s="1062" t="n"/>
      <c r="I321" s="1206">
        <f>I320*$G$25*I252</f>
        <v/>
      </c>
      <c r="J321" s="1062">
        <f>J320*$G$25</f>
        <v/>
      </c>
      <c r="K321" s="1062">
        <f>K320*$G$25</f>
        <v/>
      </c>
      <c r="L321" s="1062">
        <f>L320*$G$25</f>
        <v/>
      </c>
      <c r="M321" s="1062">
        <f>M320*$G$25</f>
        <v/>
      </c>
      <c r="N321" s="1062">
        <f>N320*$G$25</f>
        <v/>
      </c>
      <c r="O321" s="1198" t="n"/>
    </row>
    <row r="322" ht="15" customHeight="1">
      <c r="A322" s="307" t="n"/>
      <c r="B322" s="2" t="inlineStr">
        <is>
          <t>Closing balance</t>
        </is>
      </c>
      <c r="C322" s="2" t="n"/>
      <c r="D322" s="2" t="n"/>
      <c r="E322" s="2" t="n"/>
      <c r="F322" s="2" t="n"/>
      <c r="G322" s="2" t="n"/>
      <c r="H322" s="1173">
        <f>+E87+E88</f>
        <v/>
      </c>
      <c r="I322" s="1214">
        <f>SUM(I320:I321)</f>
        <v/>
      </c>
      <c r="J322" s="1173">
        <f>SUM(J320:J321)</f>
        <v/>
      </c>
      <c r="K322" s="1173">
        <f>SUM(K320:K321)</f>
        <v/>
      </c>
      <c r="L322" s="1173">
        <f>SUM(L320:L321)</f>
        <v/>
      </c>
      <c r="M322" s="1173">
        <f>SUM(M320:M321)</f>
        <v/>
      </c>
      <c r="N322" s="1173">
        <f>SUM(N320:N321)</f>
        <v/>
      </c>
      <c r="O322" s="1198" t="n"/>
      <c r="P322" s="1198" t="n"/>
    </row>
    <row r="323" ht="15" customFormat="1" customHeight="1" s="21">
      <c r="A323" s="459" t="n"/>
      <c r="B323" s="90" t="n"/>
      <c r="C323" s="1" t="n"/>
      <c r="D323" s="1" t="n"/>
      <c r="E323" s="1" t="n"/>
      <c r="F323" s="1" t="n"/>
      <c r="G323" s="1062" t="n"/>
      <c r="H323" s="1062" t="n"/>
      <c r="I323" s="1206" t="n"/>
      <c r="J323" s="1062" t="n"/>
      <c r="K323" s="1062" t="n"/>
      <c r="L323" s="1062" t="n"/>
      <c r="M323" s="1062" t="n"/>
      <c r="N323" s="1062" t="n"/>
      <c r="O323" s="1198" t="n"/>
      <c r="P323" s="1" t="n"/>
    </row>
    <row r="324" ht="15" customHeight="1">
      <c r="A324" s="307" t="n"/>
      <c r="B324" s="3" t="inlineStr">
        <is>
          <t>Preferred equity - tuck-in management</t>
        </is>
      </c>
      <c r="C324" s="18" t="n"/>
      <c r="D324" s="18" t="n"/>
      <c r="E324" s="5" t="n"/>
      <c r="F324" s="5" t="n"/>
      <c r="G324" s="5" t="n"/>
      <c r="H324" s="1226" t="n"/>
      <c r="I324" s="1227" t="n"/>
      <c r="J324" s="1226" t="n"/>
      <c r="K324" s="1226" t="n"/>
      <c r="L324" s="1226" t="n"/>
      <c r="M324" s="1226" t="n"/>
      <c r="N324" s="1226" t="n"/>
      <c r="O324" s="1198" t="n"/>
    </row>
    <row r="325" ht="15" customHeight="1">
      <c r="A325" s="307" t="n"/>
      <c r="B325" s="1" t="inlineStr">
        <is>
          <t>Opening balance</t>
        </is>
      </c>
      <c r="H325" s="1062" t="n"/>
      <c r="I325" s="1206">
        <f>H328</f>
        <v/>
      </c>
      <c r="J325" s="1062">
        <f>I328</f>
        <v/>
      </c>
      <c r="K325" s="1062">
        <f>J328</f>
        <v/>
      </c>
      <c r="L325" s="1062">
        <f>K328</f>
        <v/>
      </c>
      <c r="M325" s="1062">
        <f>L328</f>
        <v/>
      </c>
      <c r="N325" s="1062">
        <f>M328</f>
        <v/>
      </c>
      <c r="O325" s="1198" t="n"/>
    </row>
    <row r="326" ht="15" customHeight="1">
      <c r="A326" s="307" t="n"/>
      <c r="B326" s="1" t="inlineStr">
        <is>
          <t>M&amp;A reinvest</t>
        </is>
      </c>
      <c r="H326" s="1062" t="n"/>
      <c r="I326" s="1206">
        <f>Y59-V59</f>
        <v/>
      </c>
      <c r="J326" s="1062">
        <f>AA59-Y59</f>
        <v/>
      </c>
      <c r="K326" s="1062">
        <f>AC59-AA59</f>
        <v/>
      </c>
      <c r="L326" s="1062">
        <f>AE59-AC59</f>
        <v/>
      </c>
      <c r="M326" s="1062">
        <f>AG59-AE59</f>
        <v/>
      </c>
      <c r="N326" s="1062">
        <f>AI59-AG59</f>
        <v/>
      </c>
      <c r="O326" s="1173" t="n"/>
    </row>
    <row r="327" ht="15" customHeight="1">
      <c r="A327" s="307" t="n"/>
      <c r="B327" s="1" t="inlineStr">
        <is>
          <t>PIK interest</t>
        </is>
      </c>
      <c r="H327" s="1062" t="n"/>
      <c r="I327" s="1206">
        <f>I325*$G$25*I257</f>
        <v/>
      </c>
      <c r="J327" s="1062">
        <f>J325*$G$25</f>
        <v/>
      </c>
      <c r="K327" s="1062">
        <f>K325*$G$25</f>
        <v/>
      </c>
      <c r="L327" s="1062">
        <f>L325*$G$25</f>
        <v/>
      </c>
      <c r="M327" s="1062">
        <f>M325*$G$25</f>
        <v/>
      </c>
      <c r="N327" s="1062">
        <f>N325*$G$25</f>
        <v/>
      </c>
      <c r="O327" s="1198" t="n"/>
    </row>
    <row r="328" ht="15" customHeight="1">
      <c r="A328" s="307" t="n"/>
      <c r="B328" s="2" t="inlineStr">
        <is>
          <t>Closing balance</t>
        </is>
      </c>
      <c r="C328" s="2" t="n"/>
      <c r="D328" s="2" t="n"/>
      <c r="E328" s="2" t="n"/>
      <c r="F328" s="2" t="n"/>
      <c r="G328" s="2" t="n"/>
      <c r="H328" s="1173" t="n">
        <v>0</v>
      </c>
      <c r="I328" s="1214">
        <f>SUM(I325:I327)</f>
        <v/>
      </c>
      <c r="J328" s="1173">
        <f>SUM(J325:J327)</f>
        <v/>
      </c>
      <c r="K328" s="1173">
        <f>SUM(K325:K327)</f>
        <v/>
      </c>
      <c r="L328" s="1173">
        <f>SUM(L325:L327)</f>
        <v/>
      </c>
      <c r="M328" s="1173">
        <f>SUM(M325:M327)</f>
        <v/>
      </c>
      <c r="N328" s="1173">
        <f>SUM(N325:N327)</f>
        <v/>
      </c>
      <c r="O328" s="1198" t="n"/>
      <c r="P328" s="1198" t="n"/>
    </row>
    <row r="329" ht="15" customFormat="1" customHeight="1" s="21">
      <c r="A329" s="459" t="n"/>
      <c r="B329" s="90" t="n"/>
      <c r="C329" s="1" t="n"/>
      <c r="D329" s="1" t="n"/>
      <c r="E329" s="1" t="n"/>
      <c r="F329" s="1" t="n"/>
      <c r="G329" s="1062" t="n"/>
      <c r="H329" s="1062" t="n"/>
      <c r="I329" s="1206" t="n"/>
      <c r="J329" s="1062" t="n"/>
      <c r="K329" s="1062" t="n"/>
      <c r="L329" s="1062" t="n"/>
      <c r="M329" s="1062" t="n"/>
      <c r="N329" s="1062" t="n"/>
      <c r="O329" s="1198" t="n"/>
      <c r="P329" s="1" t="n"/>
    </row>
    <row r="330" ht="14.65" customFormat="1" customHeight="1" s="21">
      <c r="A330" s="307" t="inlineStr">
        <is>
          <t>x</t>
        </is>
      </c>
      <c r="B330" s="106">
        <f>"Interest Schedule ("&amp;L14&amp;")"</f>
        <v/>
      </c>
      <c r="C330" s="106" t="n"/>
      <c r="D330" s="106" t="n"/>
      <c r="E330" s="107" t="n"/>
      <c r="F330" s="107" t="n"/>
      <c r="G330" s="107" t="n"/>
      <c r="H330" s="107" t="n"/>
      <c r="I330" s="572" t="n"/>
      <c r="J330" s="107" t="n"/>
      <c r="K330" s="107" t="n"/>
      <c r="L330" s="107" t="n"/>
      <c r="M330" s="107" t="n"/>
      <c r="N330" s="107" t="n"/>
      <c r="O330" s="289" t="n"/>
      <c r="P330" s="1" t="n"/>
    </row>
    <row r="331" ht="15" customFormat="1" customHeight="1" s="21">
      <c r="A331" s="459" t="n"/>
      <c r="B331" s="1" t="n"/>
      <c r="C331" s="1" t="n"/>
      <c r="D331" s="1" t="n"/>
      <c r="E331" s="1" t="n"/>
      <c r="F331" s="1" t="n"/>
      <c r="G331" s="1" t="n"/>
      <c r="H331" s="1" t="n"/>
      <c r="I331" s="562">
        <f>+$F$40</f>
        <v/>
      </c>
      <c r="J331" s="84">
        <f>+I331+1</f>
        <v/>
      </c>
      <c r="K331" s="84">
        <f>J331+1</f>
        <v/>
      </c>
      <c r="L331" s="84">
        <f>K331+1</f>
        <v/>
      </c>
      <c r="M331" s="84">
        <f>L331+1</f>
        <v/>
      </c>
      <c r="N331" s="84">
        <f>M331+1</f>
        <v/>
      </c>
      <c r="O331" s="84" t="n"/>
      <c r="P331" s="1" t="n"/>
    </row>
    <row r="332" ht="15" customFormat="1" customHeight="1" s="21">
      <c r="A332" s="459" t="n"/>
      <c r="B332" s="1" t="n"/>
      <c r="C332" s="1" t="n"/>
      <c r="D332" s="1" t="n"/>
      <c r="E332" s="1" t="n"/>
      <c r="F332" s="1" t="n"/>
      <c r="G332" s="1" t="n"/>
      <c r="H332" s="1" t="n"/>
      <c r="I332" s="1192">
        <f>+$F$38</f>
        <v/>
      </c>
      <c r="J332" s="14" t="n"/>
      <c r="K332" s="1" t="n"/>
      <c r="L332" s="1" t="n"/>
      <c r="M332" s="1" t="n"/>
      <c r="N332" s="1" t="n"/>
      <c r="O332" s="1" t="n"/>
      <c r="P332" s="1" t="n"/>
    </row>
    <row r="333" ht="15" customFormat="1" customHeight="1" s="21">
      <c r="A333" s="459" t="n"/>
      <c r="B333" s="68">
        <f>+$B$157</f>
        <v/>
      </c>
      <c r="C333" s="68" t="n"/>
      <c r="D333" s="68" t="n"/>
      <c r="E333" s="87" t="inlineStr">
        <is>
          <t xml:space="preserve">Cost </t>
        </is>
      </c>
      <c r="F333" s="1193" t="n"/>
      <c r="G333" s="1193" t="n"/>
      <c r="H333" s="1193" t="n"/>
      <c r="I333" s="1195">
        <f>H$157</f>
        <v/>
      </c>
      <c r="J333" s="1193">
        <f>J$157</f>
        <v/>
      </c>
      <c r="K333" s="1193">
        <f>K$157</f>
        <v/>
      </c>
      <c r="L333" s="1193">
        <f>L$157</f>
        <v/>
      </c>
      <c r="M333" s="1193">
        <f>M$157</f>
        <v/>
      </c>
      <c r="N333" s="1193">
        <f>N$157</f>
        <v/>
      </c>
      <c r="O333" s="1180" t="n"/>
      <c r="P333" s="1" t="n"/>
    </row>
    <row r="334" ht="15" customFormat="1" customHeight="1" s="21">
      <c r="A334" s="459" t="n"/>
      <c r="I334" s="1197" t="n"/>
      <c r="J334" s="1198" t="n"/>
      <c r="K334" s="1198" t="n"/>
      <c r="L334" s="1198" t="n"/>
      <c r="M334" s="1198" t="n"/>
      <c r="N334" s="1198" t="n"/>
      <c r="O334" s="1198" t="n"/>
      <c r="P334" s="1" t="n"/>
    </row>
    <row r="335" ht="15" customFormat="1" customHeight="1" s="21">
      <c r="A335" s="459" t="n"/>
      <c r="B335" s="7" t="inlineStr">
        <is>
          <t>RCF</t>
        </is>
      </c>
      <c r="C335" s="7" t="n"/>
      <c r="D335" s="7" t="n"/>
      <c r="E335" s="1246">
        <f>+G14</f>
        <v/>
      </c>
      <c r="I335" s="1206">
        <f>-IF($P$338=0,I265*$E$335*I331,AVERAGE(I265,I268)*$E$335*I331)</f>
        <v/>
      </c>
      <c r="J335" s="1062">
        <f>-IF($P$338=0,J265*$E$335,AVERAGE(J265,J268)*$E$335)</f>
        <v/>
      </c>
      <c r="K335" s="1062">
        <f>-IF($P$338=0,K265*$E$335,AVERAGE(K265,K268)*$E$335)</f>
        <v/>
      </c>
      <c r="L335" s="1062">
        <f>-IF($P$338=0,L265*$E$335,AVERAGE(L265,L268)*$E$335)</f>
        <v/>
      </c>
      <c r="M335" s="1062">
        <f>-IF($P$338=0,M265*$E$335,AVERAGE(M265,M268)*$E$335)</f>
        <v/>
      </c>
      <c r="N335" s="1062">
        <f>-IF($P$338=0,N265*$E$335,AVERAGE(N265,N268)*$E$335)</f>
        <v/>
      </c>
      <c r="O335" s="1062" t="n"/>
      <c r="P335" s="1" t="n"/>
    </row>
    <row r="336" ht="15" customFormat="1" customHeight="1" s="21">
      <c r="A336" s="459" t="n"/>
      <c r="B336" s="7">
        <f>B15&amp;" interest"</f>
        <v/>
      </c>
      <c r="C336" s="1" t="n"/>
      <c r="D336" s="1" t="n"/>
      <c r="E336" s="1246">
        <f>+G15</f>
        <v/>
      </c>
      <c r="F336" s="1" t="n"/>
      <c r="G336" s="1" t="n"/>
      <c r="H336" s="1" t="n"/>
      <c r="I336" s="1206">
        <f>IF($P$338=0,-I273*$E$336*I331,-AVERAGE(I273,I276)*$E$336*I331)</f>
        <v/>
      </c>
      <c r="J336" s="1062">
        <f>IF($P$338=0,-J273*$E$336,-AVERAGE(J273,J276)*$E$336)</f>
        <v/>
      </c>
      <c r="K336" s="1062">
        <f>IF($P$338=0,-K273*$E$336,-AVERAGE(K273,K276)*$E$336)</f>
        <v/>
      </c>
      <c r="L336" s="1062">
        <f>IF($P$338=0,-L273*$E$336,-AVERAGE(L273,L276)*$E$336)</f>
        <v/>
      </c>
      <c r="M336" s="1062">
        <f>IF($P$338=0,-M273*$E$336,-AVERAGE(M273,M276)*$E$336)</f>
        <v/>
      </c>
      <c r="N336" s="1062">
        <f>IF($P$338=0,-N273*$E$336,-AVERAGE(N273,N276)*$E$336)</f>
        <v/>
      </c>
      <c r="O336" s="1062" t="n"/>
      <c r="P336" s="1" t="n"/>
    </row>
    <row r="337" ht="15" customFormat="1" customHeight="1" s="21">
      <c r="A337" s="459" t="n"/>
      <c r="B337" s="7">
        <f>B16&amp;" interest"</f>
        <v/>
      </c>
      <c r="C337" s="1" t="n"/>
      <c r="D337" s="1" t="n"/>
      <c r="E337" s="1246">
        <f>+G16</f>
        <v/>
      </c>
      <c r="I337" s="1206">
        <f>IF($P$338=0,-I279*$E$337*I331,-AVERAGE(I279,I282)*$E$337*I331)</f>
        <v/>
      </c>
      <c r="J337" s="1062">
        <f>IF($P$338=0,-J279*$E$337,-AVERAGE(J279,J282)*$E$337)</f>
        <v/>
      </c>
      <c r="K337" s="1062">
        <f>IF($P$338=0,-K279*$E$337,-AVERAGE(K279,K282)*$E$337)</f>
        <v/>
      </c>
      <c r="L337" s="1062">
        <f>IF($P$338=0,-L279*$E$337,-AVERAGE(L279,L282)*$E$337)</f>
        <v/>
      </c>
      <c r="M337" s="1062">
        <f>IF($P$338=0,-M279*$E$337,-AVERAGE(M279,M282)*$E$337)</f>
        <v/>
      </c>
      <c r="N337" s="1062">
        <f>IF($P$338=0,-N279*$E$337,-AVERAGE(N279,N282)*$E$337)</f>
        <v/>
      </c>
      <c r="O337" s="1062" t="n"/>
      <c r="P337" s="16" t="inlineStr">
        <is>
          <t>CIRCULAR  FIX</t>
        </is>
      </c>
    </row>
    <row r="338" ht="15" customFormat="1" customHeight="1" s="21">
      <c r="A338" s="459" t="n"/>
      <c r="B338" s="7">
        <f>B17&amp;" interest"</f>
        <v/>
      </c>
      <c r="C338" s="7" t="n"/>
      <c r="D338" s="7" t="n"/>
      <c r="E338" s="1246">
        <f>+G17</f>
        <v/>
      </c>
      <c r="I338" s="1206">
        <f>IF($P$338=0,-I285*$E$338*I331,-AVERAGE(I285,I287)*$E$338*I331)</f>
        <v/>
      </c>
      <c r="J338" s="1062">
        <f>IF($P$338=0,-J285*$E$338,-AVERAGE(J285,J287)*$E$338)</f>
        <v/>
      </c>
      <c r="K338" s="1062">
        <f>IF($P$338=0,-K285*$E$338,-AVERAGE(K285,K287)*$E$338)</f>
        <v/>
      </c>
      <c r="L338" s="1062">
        <f>IF($P$338=0,-L285*$E$338,-AVERAGE(L285,L287)*$E$338)</f>
        <v/>
      </c>
      <c r="M338" s="1062">
        <f>IF($P$338=0,-M285*$E$338,-AVERAGE(M285,M287)*$E$338)</f>
        <v/>
      </c>
      <c r="N338" s="1062">
        <f>IF($P$338=0,-N285*$E$338,-AVERAGE(N285,N287)*$E$338)</f>
        <v/>
      </c>
      <c r="O338" s="1062" t="n"/>
      <c r="P338" s="696" t="n">
        <v>0</v>
      </c>
    </row>
    <row r="339" ht="15" customFormat="1" customHeight="1" s="21">
      <c r="A339" s="459" t="n"/>
      <c r="B339" s="7">
        <f>B23&amp;" PIK interest"</f>
        <v/>
      </c>
      <c r="C339" s="7" t="n"/>
      <c r="D339" s="7" t="n"/>
      <c r="E339" s="1246">
        <f>+G23</f>
        <v/>
      </c>
      <c r="I339" s="1206">
        <f>+-I305</f>
        <v/>
      </c>
      <c r="J339" s="1062">
        <f>+-J305</f>
        <v/>
      </c>
      <c r="K339" s="1062">
        <f>+-K305</f>
        <v/>
      </c>
      <c r="L339" s="1062">
        <f>+-L305</f>
        <v/>
      </c>
      <c r="M339" s="1062">
        <f>+-M305</f>
        <v/>
      </c>
      <c r="N339" s="1062">
        <f>+-N305</f>
        <v/>
      </c>
      <c r="O339" s="1062" t="n"/>
      <c r="P339" s="1" t="n"/>
    </row>
    <row r="340" ht="15" customFormat="1" customHeight="1" s="21">
      <c r="A340" s="459" t="n"/>
      <c r="B340" s="7">
        <f>B24&amp;" PIK interest"</f>
        <v/>
      </c>
      <c r="C340" s="7" t="n"/>
      <c r="D340" s="7" t="n"/>
      <c r="E340" s="1246">
        <f>+G24</f>
        <v/>
      </c>
      <c r="I340" s="1206">
        <f>-I311</f>
        <v/>
      </c>
      <c r="J340" s="1062">
        <f>-J311</f>
        <v/>
      </c>
      <c r="K340" s="1062">
        <f>-K311</f>
        <v/>
      </c>
      <c r="L340" s="1062">
        <f>-L311</f>
        <v/>
      </c>
      <c r="M340" s="1062">
        <f>-M311</f>
        <v/>
      </c>
      <c r="N340" s="1062">
        <f>-N311</f>
        <v/>
      </c>
      <c r="O340" s="1062" t="n"/>
      <c r="P340" s="1" t="n"/>
    </row>
    <row r="341" ht="15" customFormat="1" customHeight="1" s="21">
      <c r="A341" s="459" t="n"/>
      <c r="B341" s="7" t="inlineStr">
        <is>
          <t>RCF undrawn commitment fee</t>
        </is>
      </c>
      <c r="C341" s="7" t="n"/>
      <c r="D341" s="7" t="n"/>
      <c r="E341" s="1246">
        <f>+G19</f>
        <v/>
      </c>
      <c r="I341" s="1206">
        <f>MIN(IF(P338=0,-($E$14-I265)*$E$341*I331,($E$14-I269)*$E$341*I331),0)</f>
        <v/>
      </c>
      <c r="J341" s="1062">
        <f>MIN(IF($P$338=0,-($E$14-J265)*$E$341,-($E$14-J269)*$E$341),0)</f>
        <v/>
      </c>
      <c r="K341" s="1062">
        <f>MIN(IF($P$338=0,-($E$14-K265)*$E$341,-($E$14-K269)*$E$341),0)</f>
        <v/>
      </c>
      <c r="L341" s="1062">
        <f>MIN(IF($P$338=0,-($E$14-L265)*$E$341,-($E$14-L269)*$E$341),0)</f>
        <v/>
      </c>
      <c r="M341" s="1062">
        <f>MIN(IF($P$338=0,-($E$14-M265)*$E$341,-($E$14-M269)*$E$341),0)</f>
        <v/>
      </c>
      <c r="N341" s="1062">
        <f>MIN(IF($P$338=0,-($E$14-N265)*$E$341,-($E$14-N269)*$E$341),0)</f>
        <v/>
      </c>
      <c r="O341" s="1062" t="n"/>
      <c r="P341" s="1" t="n"/>
    </row>
    <row r="342" ht="15" customFormat="1" customHeight="1" s="21">
      <c r="A342" s="459" t="n"/>
      <c r="B342" s="7" t="inlineStr">
        <is>
          <t>ACF undrawn commitment fee</t>
        </is>
      </c>
      <c r="C342" s="7" t="n"/>
      <c r="D342" s="7" t="n"/>
      <c r="E342" s="1246">
        <f>+G20</f>
        <v/>
      </c>
      <c r="I342" s="1206">
        <f>MIN(IF(P338=0,-($E$17-I285)*$E$342*I331,($E$17-I288)*$E$342*I331),0)</f>
        <v/>
      </c>
      <c r="J342" s="1062">
        <f>MIN(IF($P$338=0,-($E$17-J285)*$E$342,-($E$17-J288)*$E$342),0)</f>
        <v/>
      </c>
      <c r="K342" s="1062">
        <f>MIN(IF($P$338=0,-($E$17-K285)*$E$342,-($E$17-K288)*$E$342),0)</f>
        <v/>
      </c>
      <c r="L342" s="1062">
        <f>MIN(IF($P$338=0,-($E$17-L285)*$E$342,-($E$17-L288)*$E$342),0)</f>
        <v/>
      </c>
      <c r="M342" s="1062">
        <f>MIN(IF($P$338=0,-($E$17-M285)*$E$342,-($E$17-M288)*$E$342),0)</f>
        <v/>
      </c>
      <c r="N342" s="1062">
        <f>MIN(IF($P$338=0,-($E$17-N285)*$E$342,-($E$17-N288)*$E$342),0)</f>
        <v/>
      </c>
      <c r="O342" s="1062" t="n"/>
      <c r="P342" s="1" t="n"/>
    </row>
    <row r="343" ht="15" customFormat="1" customHeight="1" s="21">
      <c r="A343" s="459" t="n"/>
      <c r="B343" s="600" t="inlineStr">
        <is>
          <t xml:space="preserve">Total interest </t>
        </is>
      </c>
      <c r="C343" s="600" t="n"/>
      <c r="D343" s="600" t="n"/>
      <c r="E343" s="600" t="n"/>
      <c r="F343" s="1247" t="n"/>
      <c r="G343" s="1247" t="n"/>
      <c r="H343" s="1247" t="n"/>
      <c r="I343" s="1248">
        <f>SUM(I335:I342)</f>
        <v/>
      </c>
      <c r="J343" s="1249">
        <f>SUM(J335:J342)</f>
        <v/>
      </c>
      <c r="K343" s="1249">
        <f>SUM(K335:K342)</f>
        <v/>
      </c>
      <c r="L343" s="1249">
        <f>SUM(L335:L342)</f>
        <v/>
      </c>
      <c r="M343" s="1249">
        <f>SUM(M335:M342)</f>
        <v/>
      </c>
      <c r="N343" s="1249">
        <f>SUM(N335:N342)</f>
        <v/>
      </c>
      <c r="O343" s="1173" t="n"/>
      <c r="P343" s="1" t="n"/>
    </row>
    <row r="344" ht="15" customFormat="1" customHeight="1" s="21">
      <c r="A344" s="459" t="n"/>
      <c r="B344" s="38" t="inlineStr">
        <is>
          <t>o/w cash interest</t>
        </is>
      </c>
      <c r="C344" s="38" t="n"/>
      <c r="D344" s="38" t="n"/>
      <c r="F344" s="1198" t="n"/>
      <c r="G344" s="1198" t="n"/>
      <c r="H344" s="1198" t="n"/>
      <c r="I344" s="1206">
        <f>+I343-SUM(I339:I340)</f>
        <v/>
      </c>
      <c r="J344" s="1062">
        <f>+J343-SUM(J339:J340)</f>
        <v/>
      </c>
      <c r="K344" s="1062">
        <f>+K343-SUM(K339:K340)</f>
        <v/>
      </c>
      <c r="L344" s="1062">
        <f>+L343-SUM(L339:L340)</f>
        <v/>
      </c>
      <c r="M344" s="1062">
        <f>+M343-SUM(M339:M340)</f>
        <v/>
      </c>
      <c r="N344" s="1062">
        <f>+N343-SUM(N339:N340)</f>
        <v/>
      </c>
      <c r="O344" s="1062" t="n"/>
      <c r="P344" s="1" t="n"/>
    </row>
    <row r="345" ht="15" customFormat="1" customHeight="1" s="21">
      <c r="A345" s="459" t="n"/>
      <c r="B345" s="38" t="inlineStr">
        <is>
          <t>o/w cash interest (exc. RCF)</t>
        </is>
      </c>
      <c r="C345" s="38" t="n"/>
      <c r="D345" s="38" t="n"/>
      <c r="F345" s="1198" t="n"/>
      <c r="G345" s="1198" t="n"/>
      <c r="H345" s="1198" t="n"/>
      <c r="I345" s="1206">
        <f>+SUM(I336:I338,I342)</f>
        <v/>
      </c>
      <c r="J345" s="1062">
        <f>+SUM(J336:J338,J342)</f>
        <v/>
      </c>
      <c r="K345" s="1062">
        <f>+SUM(K336:K338,K342)</f>
        <v/>
      </c>
      <c r="L345" s="1062">
        <f>+SUM(L336:L338,L342)</f>
        <v/>
      </c>
      <c r="M345" s="1062">
        <f>+SUM(M336:M338,M342)</f>
        <v/>
      </c>
      <c r="N345" s="1062">
        <f>+SUM(N336:N338,N342)</f>
        <v/>
      </c>
      <c r="O345" s="1062" t="n"/>
      <c r="P345" s="1" t="n"/>
    </row>
    <row r="346" ht="15" customFormat="1" customHeight="1" s="21">
      <c r="A346" s="459" t="n"/>
      <c r="I346" s="589" t="n"/>
      <c r="L346" s="1" t="n"/>
      <c r="M346" s="1" t="n"/>
      <c r="N346" s="1" t="n"/>
      <c r="O346" s="1" t="n"/>
    </row>
    <row r="347" ht="15" customHeight="1">
      <c r="A347" s="307" t="inlineStr">
        <is>
          <t>x</t>
        </is>
      </c>
      <c r="B347" s="106">
        <f>"Returns ("&amp;L14&amp;")"</f>
        <v/>
      </c>
      <c r="C347" s="106" t="n"/>
      <c r="D347" s="106" t="n"/>
      <c r="E347" s="107" t="n"/>
      <c r="F347" s="107" t="n"/>
      <c r="G347" s="107" t="n"/>
      <c r="H347" s="107" t="n"/>
      <c r="I347" s="572" t="n"/>
      <c r="J347" s="107" t="n"/>
      <c r="K347" s="107" t="n"/>
      <c r="L347" s="107" t="n"/>
      <c r="M347" s="107" t="n"/>
      <c r="N347" s="107" t="n"/>
      <c r="O347" s="289" t="n"/>
    </row>
    <row r="348" ht="15" customHeight="1">
      <c r="A348" s="307" t="n"/>
      <c r="I348" s="562">
        <f>+$F$40</f>
        <v/>
      </c>
      <c r="J348" s="84">
        <f>+I348+1</f>
        <v/>
      </c>
      <c r="K348" s="84">
        <f>J348+1</f>
        <v/>
      </c>
      <c r="L348" s="84">
        <f>K348+1</f>
        <v/>
      </c>
      <c r="M348" s="84">
        <f>L348+1</f>
        <v/>
      </c>
      <c r="N348" s="84">
        <f>M348+1</f>
        <v/>
      </c>
      <c r="O348" s="84" t="n"/>
    </row>
    <row r="349" ht="15" customHeight="1">
      <c r="A349" s="307" t="n"/>
      <c r="B349" s="68">
        <f>+$B$157</f>
        <v/>
      </c>
      <c r="C349" s="68" t="n"/>
      <c r="D349" s="68" t="n"/>
      <c r="E349" s="68" t="n"/>
      <c r="F349" s="1193" t="n"/>
      <c r="G349" s="1250" t="inlineStr">
        <is>
          <t>Entry</t>
        </is>
      </c>
      <c r="H349" s="1193" t="n"/>
      <c r="I349" s="1195">
        <f>H$157</f>
        <v/>
      </c>
      <c r="J349" s="1193">
        <f>J$157</f>
        <v/>
      </c>
      <c r="K349" s="1193">
        <f>K$157</f>
        <v/>
      </c>
      <c r="L349" s="1193">
        <f>L$157</f>
        <v/>
      </c>
      <c r="M349" s="1193">
        <f>M$157</f>
        <v/>
      </c>
      <c r="N349" s="1193">
        <f>N$157</f>
        <v/>
      </c>
      <c r="O349" s="1180" t="n"/>
    </row>
    <row r="350" ht="15" customHeight="1">
      <c r="A350" s="307" t="n"/>
      <c r="I350" s="565" t="n"/>
    </row>
    <row r="351" ht="15" customHeight="1">
      <c r="A351" s="307" t="n"/>
      <c r="B351" s="3" t="inlineStr">
        <is>
          <t>Valuation</t>
        </is>
      </c>
      <c r="C351" s="5" t="n"/>
      <c r="D351" s="5" t="n"/>
      <c r="E351" s="5" t="n"/>
      <c r="F351" s="5" t="n"/>
      <c r="G351" s="5" t="n"/>
      <c r="H351" s="5" t="n"/>
      <c r="I351" s="1251" t="n"/>
      <c r="J351" s="1252" t="n"/>
      <c r="K351" s="1252" t="n"/>
      <c r="L351" s="1252" t="n"/>
      <c r="M351" s="1252" t="n"/>
      <c r="N351" s="1252" t="n"/>
      <c r="O351" s="1078" t="n"/>
    </row>
    <row r="352" outlineLevel="1" ht="15" customHeight="1">
      <c r="A352" s="307" t="n"/>
      <c r="B352" s="1">
        <f>I30</f>
        <v/>
      </c>
      <c r="I352" s="1197">
        <f>+H181</f>
        <v/>
      </c>
      <c r="J352" s="1198">
        <f>+J181</f>
        <v/>
      </c>
      <c r="K352" s="1198">
        <f>+K181</f>
        <v/>
      </c>
      <c r="L352" s="1198">
        <f>+L181</f>
        <v/>
      </c>
      <c r="M352" s="1198">
        <f>+M181</f>
        <v/>
      </c>
      <c r="N352" s="1198">
        <f>+N181</f>
        <v/>
      </c>
      <c r="O352" s="1078" t="n"/>
    </row>
    <row r="353" outlineLevel="1" ht="15" customHeight="1">
      <c r="A353" s="307" t="n"/>
      <c r="B353" s="1">
        <f>I31</f>
        <v/>
      </c>
      <c r="I353" s="1197">
        <f>+H192</f>
        <v/>
      </c>
      <c r="J353" s="1198">
        <f>+J192</f>
        <v/>
      </c>
      <c r="K353" s="1198">
        <f>+K192</f>
        <v/>
      </c>
      <c r="L353" s="1198">
        <f>+L192</f>
        <v/>
      </c>
      <c r="M353" s="1198">
        <f>+M192</f>
        <v/>
      </c>
      <c r="N353" s="1198">
        <f>+N192</f>
        <v/>
      </c>
      <c r="O353" s="1078" t="n"/>
    </row>
    <row r="354" outlineLevel="1" ht="15" customHeight="1">
      <c r="A354" s="307" t="n"/>
      <c r="B354" s="1">
        <f>I32</f>
        <v/>
      </c>
      <c r="I354" s="1197">
        <f>+H189</f>
        <v/>
      </c>
      <c r="J354" s="1198">
        <f>+J189</f>
        <v/>
      </c>
      <c r="K354" s="1198">
        <f>+K189</f>
        <v/>
      </c>
      <c r="L354" s="1198">
        <f>+L189</f>
        <v/>
      </c>
      <c r="M354" s="1198">
        <f>+M189</f>
        <v/>
      </c>
      <c r="N354" s="1198">
        <f>+N189</f>
        <v/>
      </c>
      <c r="O354" s="1078" t="n"/>
    </row>
    <row r="355" ht="15" customHeight="1">
      <c r="A355" s="307" t="n"/>
      <c r="B355" s="90">
        <f>CHOOSE($L$29,B352,B353,B354)</f>
        <v/>
      </c>
      <c r="G355" s="1062">
        <f>+K40</f>
        <v/>
      </c>
      <c r="H355" s="1062" t="n"/>
      <c r="I355" s="1206">
        <f>CHOOSE($L$29,I352,I353,I354)</f>
        <v/>
      </c>
      <c r="J355" s="1062">
        <f>CHOOSE($L$29,J352,J353,J354)</f>
        <v/>
      </c>
      <c r="K355" s="1062">
        <f>CHOOSE($L$29,K352,K353,K354)</f>
        <v/>
      </c>
      <c r="L355" s="1062">
        <f>CHOOSE($L$29,L352,L353,L354)</f>
        <v/>
      </c>
      <c r="M355" s="1062">
        <f>CHOOSE($L$29,M352,M353,M354)</f>
        <v/>
      </c>
      <c r="N355" s="1062">
        <f>CHOOSE($L$29,N352,N353,N354)</f>
        <v/>
      </c>
      <c r="O355" s="1078" t="n"/>
    </row>
    <row r="356" ht="15" customFormat="1" customHeight="1" s="21">
      <c r="A356" s="459" t="n"/>
      <c r="B356" s="90" t="inlineStr">
        <is>
          <t>Exit multiple</t>
        </is>
      </c>
      <c r="G356" s="1253" t="n"/>
      <c r="I356" s="1254">
        <f>+$F$43</f>
        <v/>
      </c>
      <c r="J356" s="1253">
        <f>+$F$43</f>
        <v/>
      </c>
      <c r="K356" s="1253">
        <f>+$F$43</f>
        <v/>
      </c>
      <c r="L356" s="1253">
        <f>+$F$43</f>
        <v/>
      </c>
      <c r="M356" s="1253">
        <f>+$F$43</f>
        <v/>
      </c>
      <c r="N356" s="1253">
        <f>+$F$43</f>
        <v/>
      </c>
      <c r="O356" s="1078" t="n"/>
      <c r="P356" s="1" t="n"/>
      <c r="S356" s="1" t="n"/>
      <c r="T356" s="1" t="n"/>
    </row>
    <row r="357" ht="15" customFormat="1" customHeight="1" s="21">
      <c r="A357" s="459" t="n"/>
      <c r="B357" s="7" t="inlineStr">
        <is>
          <t>Enterprise Value</t>
        </is>
      </c>
      <c r="C357" s="7" t="n"/>
      <c r="D357" s="7" t="n"/>
      <c r="E357" s="7" t="n"/>
      <c r="F357" s="7" t="n"/>
      <c r="G357" s="7" t="n"/>
      <c r="H357" s="7" t="n"/>
      <c r="I357" s="1206">
        <f>+I355*I356</f>
        <v/>
      </c>
      <c r="J357" s="1062">
        <f>+J355*J356</f>
        <v/>
      </c>
      <c r="K357" s="1062">
        <f>+K355*K356</f>
        <v/>
      </c>
      <c r="L357" s="1062">
        <f>+L355*L356</f>
        <v/>
      </c>
      <c r="M357" s="1062">
        <f>+M355*M356</f>
        <v/>
      </c>
      <c r="N357" s="1062">
        <f>+N355*N356</f>
        <v/>
      </c>
      <c r="O357" s="1078" t="n"/>
      <c r="P357" s="1" t="n"/>
      <c r="S357" s="1" t="n"/>
      <c r="T357" s="1" t="n"/>
    </row>
    <row r="358" ht="15" customFormat="1" customHeight="1" s="21">
      <c r="A358" s="459" t="n"/>
      <c r="B358" s="90" t="inlineStr">
        <is>
          <t>Less (net debt) / cash</t>
        </is>
      </c>
      <c r="C358" s="7" t="n"/>
      <c r="D358" s="7" t="n"/>
      <c r="E358" s="7" t="n"/>
      <c r="F358" s="7" t="n"/>
      <c r="G358" s="1062">
        <f>-E81-E98-H287-H268+H235</f>
        <v/>
      </c>
      <c r="H358" s="7" t="n"/>
      <c r="I358" s="1206">
        <f>-I262</f>
        <v/>
      </c>
      <c r="J358" s="1062">
        <f>-J262</f>
        <v/>
      </c>
      <c r="K358" s="1062">
        <f>-K262</f>
        <v/>
      </c>
      <c r="L358" s="1062">
        <f>-L262</f>
        <v/>
      </c>
      <c r="M358" s="1062">
        <f>-M262</f>
        <v/>
      </c>
      <c r="N358" s="1062">
        <f>-N262</f>
        <v/>
      </c>
      <c r="O358" s="1078" t="n"/>
      <c r="P358" s="1" t="n"/>
      <c r="S358" s="1" t="n"/>
      <c r="T358" s="1" t="n"/>
    </row>
    <row r="359" ht="15" customFormat="1" customHeight="1" s="21">
      <c r="A359" s="459" t="n"/>
      <c r="B359" s="90" t="inlineStr">
        <is>
          <t>Less earn-out liability (platform &amp; M&amp;A)</t>
        </is>
      </c>
      <c r="C359" s="7" t="n"/>
      <c r="D359" s="7" t="n"/>
      <c r="E359" s="7" t="n"/>
      <c r="F359" s="7" t="n"/>
      <c r="G359" s="7" t="n"/>
      <c r="H359" s="7" t="n"/>
      <c r="I359" s="1206">
        <f>+-D128+(SUM(J219:N219))</f>
        <v/>
      </c>
      <c r="J359" s="1062">
        <f>+-E128+SUM(K219:N219)</f>
        <v/>
      </c>
      <c r="K359" s="1062">
        <f>+-F128+SUM(L219:N219)</f>
        <v/>
      </c>
      <c r="L359" s="1062">
        <f>+-G128+SUM(M219:N219)</f>
        <v/>
      </c>
      <c r="M359" s="1062">
        <f>+-H128+SUM(N219)</f>
        <v/>
      </c>
      <c r="N359" s="1062">
        <f>+-I128</f>
        <v/>
      </c>
      <c r="O359" s="1062" t="n"/>
      <c r="P359" s="1" t="n"/>
      <c r="S359" s="1" t="n"/>
      <c r="T359" s="1" t="n"/>
    </row>
    <row r="360" ht="15" customFormat="1" customHeight="1" s="21">
      <c r="A360" s="459" t="n"/>
      <c r="B360" s="90">
        <f>"Less "&amp;B82&amp;" at exit"</f>
        <v/>
      </c>
      <c r="C360" s="7" t="n"/>
      <c r="D360" s="7" t="n"/>
      <c r="E360" s="7" t="n"/>
      <c r="F360" s="7" t="n"/>
      <c r="G360" s="1219">
        <f>-H306</f>
        <v/>
      </c>
      <c r="H360" s="7" t="n"/>
      <c r="I360" s="1206">
        <f>-I306</f>
        <v/>
      </c>
      <c r="J360" s="1062">
        <f>-J306</f>
        <v/>
      </c>
      <c r="K360" s="1062">
        <f>-K306</f>
        <v/>
      </c>
      <c r="L360" s="1062">
        <f>-L306</f>
        <v/>
      </c>
      <c r="M360" s="1062">
        <f>-M306</f>
        <v/>
      </c>
      <c r="N360" s="1062">
        <f>-N306</f>
        <v/>
      </c>
      <c r="O360" s="1062" t="n"/>
      <c r="P360" s="1" t="n"/>
      <c r="S360" s="1" t="n"/>
      <c r="T360" s="1" t="n"/>
    </row>
    <row r="361" ht="15" customFormat="1" customHeight="1" s="21">
      <c r="A361" s="459" t="n"/>
      <c r="B361" s="90" t="inlineStr">
        <is>
          <t>Less Blixt Exit Fee</t>
        </is>
      </c>
      <c r="C361" s="7" t="n"/>
      <c r="D361" s="7" t="n"/>
      <c r="E361" s="7" t="n"/>
      <c r="F361" s="7" t="n"/>
      <c r="G361" s="7" t="n"/>
      <c r="H361" s="7" t="n"/>
      <c r="I361" s="1206">
        <f>-I357*$L$20</f>
        <v/>
      </c>
      <c r="J361" s="1062">
        <f>-J357*$L$20</f>
        <v/>
      </c>
      <c r="K361" s="1062">
        <f>-K357*$L$20</f>
        <v/>
      </c>
      <c r="L361" s="1062">
        <f>-L357*$L$20</f>
        <v/>
      </c>
      <c r="M361" s="1062">
        <f>-M357*$L$20</f>
        <v/>
      </c>
      <c r="N361" s="1062">
        <f>-N357*$L$20</f>
        <v/>
      </c>
      <c r="O361" s="1062" t="n"/>
      <c r="P361" s="1" t="n"/>
      <c r="S361" s="1" t="n"/>
      <c r="T361" s="1" t="n"/>
    </row>
    <row r="362" ht="15" customFormat="1" customHeight="1" s="21">
      <c r="A362" s="459" t="n"/>
      <c r="B362" s="116" t="inlineStr">
        <is>
          <t>Total Equity Value at Exit</t>
        </is>
      </c>
      <c r="C362" s="116" t="n"/>
      <c r="D362" s="116" t="n"/>
      <c r="E362" s="116" t="n"/>
      <c r="F362" s="116" t="n"/>
      <c r="G362" s="116" t="n"/>
      <c r="H362" s="116" t="n"/>
      <c r="I362" s="1230">
        <f>SUM(I357:I361)</f>
        <v/>
      </c>
      <c r="J362" s="1229">
        <f>SUM(J357:J361)</f>
        <v/>
      </c>
      <c r="K362" s="1229">
        <f>SUM(K357:K361)</f>
        <v/>
      </c>
      <c r="L362" s="1229">
        <f>SUM(L357:L361)</f>
        <v/>
      </c>
      <c r="M362" s="1229">
        <f>SUM(M357:M361)</f>
        <v/>
      </c>
      <c r="N362" s="1229">
        <f>SUM(N357:N361)</f>
        <v/>
      </c>
      <c r="O362" s="1173" t="n"/>
      <c r="P362" s="1" t="n"/>
      <c r="S362" s="1" t="n"/>
      <c r="T362" s="1" t="n"/>
    </row>
    <row r="363" ht="15" customFormat="1" customHeight="1" s="21">
      <c r="A363" s="459" t="n"/>
      <c r="B363" s="90" t="inlineStr">
        <is>
          <t>Less: Blixt prefs</t>
        </is>
      </c>
      <c r="C363" s="7" t="n"/>
      <c r="D363" s="7" t="n"/>
      <c r="E363" s="7" t="n"/>
      <c r="F363" s="7" t="n"/>
      <c r="G363" s="1219">
        <f>+-H297</f>
        <v/>
      </c>
      <c r="H363" s="1062" t="n"/>
      <c r="I363" s="1206">
        <f>-I297</f>
        <v/>
      </c>
      <c r="J363" s="1062">
        <f>-J297</f>
        <v/>
      </c>
      <c r="K363" s="1062">
        <f>-K297</f>
        <v/>
      </c>
      <c r="L363" s="1062">
        <f>-L297</f>
        <v/>
      </c>
      <c r="M363" s="1062">
        <f>-M297</f>
        <v/>
      </c>
      <c r="N363" s="1062">
        <f>-N297</f>
        <v/>
      </c>
      <c r="O363" s="1173" t="n"/>
      <c r="P363" s="1173" t="n"/>
      <c r="S363" s="1" t="n"/>
      <c r="T363" s="1" t="n"/>
    </row>
    <row r="364" ht="15" customFormat="1" customHeight="1" s="21">
      <c r="A364" s="459" t="n"/>
      <c r="B364" s="90" t="inlineStr">
        <is>
          <t>Less: vendor prefs</t>
        </is>
      </c>
      <c r="C364" s="7" t="n"/>
      <c r="D364" s="7" t="n"/>
      <c r="E364" s="7" t="n"/>
      <c r="F364" s="7" t="n"/>
      <c r="G364" s="1219">
        <f>+-H298</f>
        <v/>
      </c>
      <c r="H364" s="1062" t="n"/>
      <c r="I364" s="1206">
        <f>-I298</f>
        <v/>
      </c>
      <c r="J364" s="1062">
        <f>-J298</f>
        <v/>
      </c>
      <c r="K364" s="1062">
        <f>-K298</f>
        <v/>
      </c>
      <c r="L364" s="1062">
        <f>-L298</f>
        <v/>
      </c>
      <c r="M364" s="1062">
        <f>-M298</f>
        <v/>
      </c>
      <c r="N364" s="1062">
        <f>-N298</f>
        <v/>
      </c>
      <c r="O364" s="1173" t="n"/>
      <c r="P364" s="1173" t="n"/>
      <c r="S364" s="1" t="n"/>
      <c r="T364" s="1" t="n"/>
    </row>
    <row r="365" ht="15" customFormat="1" customHeight="1" s="21">
      <c r="A365" s="459" t="n"/>
      <c r="B365" s="90" t="inlineStr">
        <is>
          <t>Less: new managament prefs</t>
        </is>
      </c>
      <c r="C365" s="7" t="n"/>
      <c r="D365" s="7" t="n"/>
      <c r="E365" s="7" t="n"/>
      <c r="F365" s="7" t="n"/>
      <c r="G365" s="1219">
        <f>+-H299</f>
        <v/>
      </c>
      <c r="H365" s="1062" t="n"/>
      <c r="I365" s="1206">
        <f>-I299</f>
        <v/>
      </c>
      <c r="J365" s="1062">
        <f>-J299</f>
        <v/>
      </c>
      <c r="K365" s="1062">
        <f>-K299</f>
        <v/>
      </c>
      <c r="L365" s="1062">
        <f>-L299</f>
        <v/>
      </c>
      <c r="M365" s="1062">
        <f>-M299</f>
        <v/>
      </c>
      <c r="N365" s="1062">
        <f>-N299</f>
        <v/>
      </c>
      <c r="O365" s="1173" t="n"/>
      <c r="P365" s="1173" t="n"/>
      <c r="S365" s="1" t="n"/>
      <c r="T365" s="1" t="n"/>
    </row>
    <row r="366" ht="15" customFormat="1" customHeight="1" s="21">
      <c r="A366" s="459" t="n"/>
      <c r="B366" s="90" t="inlineStr">
        <is>
          <t>Less: tuck-in vendor prefs</t>
        </is>
      </c>
      <c r="C366" s="7" t="n"/>
      <c r="D366" s="7" t="n"/>
      <c r="E366" s="7" t="n"/>
      <c r="F366" s="7" t="n"/>
      <c r="G366" s="1237" t="n">
        <v>0</v>
      </c>
      <c r="H366" s="1062" t="n"/>
      <c r="I366" s="1206">
        <f>-I300</f>
        <v/>
      </c>
      <c r="J366" s="1062">
        <f>-J300</f>
        <v/>
      </c>
      <c r="K366" s="1062">
        <f>-K300</f>
        <v/>
      </c>
      <c r="L366" s="1062">
        <f>-L300</f>
        <v/>
      </c>
      <c r="M366" s="1062">
        <f>-M300</f>
        <v/>
      </c>
      <c r="N366" s="1062">
        <f>-N300</f>
        <v/>
      </c>
      <c r="O366" s="1173" t="n"/>
      <c r="P366" s="1173" t="n"/>
      <c r="S366" s="1" t="n"/>
      <c r="T366" s="1" t="n"/>
    </row>
    <row r="367" ht="15" customFormat="1" customHeight="1" s="21">
      <c r="A367" s="459" t="n"/>
      <c r="B367" s="116" t="inlineStr">
        <is>
          <t>Ordinary Equity at Exit</t>
        </is>
      </c>
      <c r="C367" s="116" t="n"/>
      <c r="D367" s="116" t="n"/>
      <c r="E367" s="116" t="n"/>
      <c r="F367" s="116" t="n"/>
      <c r="G367" s="116" t="n"/>
      <c r="H367" s="116" t="n"/>
      <c r="I367" s="1230">
        <f>+I362+I363+I364+I365+I366</f>
        <v/>
      </c>
      <c r="J367" s="1229">
        <f>+J362+J363+J364+J365+J366</f>
        <v/>
      </c>
      <c r="K367" s="1229">
        <f>+K362+K363+K364+K365+K366</f>
        <v/>
      </c>
      <c r="L367" s="1229">
        <f>+L362+L363+L364+L365+L366</f>
        <v/>
      </c>
      <c r="M367" s="1229">
        <f>+M362+M363+M364+M365+M366</f>
        <v/>
      </c>
      <c r="N367" s="1229">
        <f>+N362+N363+N364+N365+N366</f>
        <v/>
      </c>
      <c r="O367" s="1173" t="n"/>
      <c r="P367" s="1" t="n"/>
    </row>
    <row r="368" ht="15" customFormat="1" customHeight="1" s="21">
      <c r="A368" s="459" t="n"/>
      <c r="B368" s="7" t="n"/>
      <c r="C368" s="7" t="n"/>
      <c r="D368" s="7" t="n"/>
      <c r="E368" s="7" t="n"/>
      <c r="F368" s="7" t="n"/>
      <c r="G368" s="7" t="n"/>
      <c r="H368" s="7" t="n"/>
      <c r="I368" s="1197" t="n"/>
      <c r="J368" s="1198" t="n"/>
      <c r="K368" s="1198" t="n"/>
      <c r="L368" s="1198" t="n"/>
      <c r="M368" s="1198" t="n"/>
      <c r="N368" s="1198" t="n"/>
      <c r="O368" s="1198" t="n"/>
      <c r="P368" s="1" t="n"/>
      <c r="S368" s="1" t="n"/>
      <c r="T368" s="1" t="n"/>
    </row>
    <row r="369" ht="15" customHeight="1">
      <c r="A369" s="307" t="n"/>
      <c r="B369" s="3" t="inlineStr">
        <is>
          <t>Total Equity Returns</t>
        </is>
      </c>
      <c r="C369" s="5" t="n"/>
      <c r="D369" s="5" t="n"/>
      <c r="E369" s="5" t="n"/>
      <c r="F369" s="5" t="n"/>
      <c r="G369" s="5" t="n"/>
      <c r="H369" s="5" t="n"/>
      <c r="I369" s="585" t="n"/>
      <c r="J369" s="5" t="n"/>
      <c r="K369" s="5" t="n"/>
      <c r="L369" s="5" t="n"/>
      <c r="M369" s="5" t="n"/>
      <c r="N369" s="5" t="n"/>
    </row>
    <row r="370" ht="15" customHeight="1">
      <c r="A370" s="307" t="n"/>
      <c r="B370" s="7" t="inlineStr">
        <is>
          <t>Entry equity value</t>
        </is>
      </c>
      <c r="C370" s="7" t="n"/>
      <c r="D370" s="7" t="n"/>
      <c r="E370" s="7" t="n"/>
      <c r="F370" s="7" t="n"/>
      <c r="G370" s="7" t="n"/>
      <c r="H370" s="7" t="n"/>
      <c r="I370" s="1218">
        <f>+$E$103</f>
        <v/>
      </c>
      <c r="J370" s="1219">
        <f>+$E$103</f>
        <v/>
      </c>
      <c r="K370" s="1219">
        <f>+$E$103</f>
        <v/>
      </c>
      <c r="L370" s="1219">
        <f>+$E$103</f>
        <v/>
      </c>
      <c r="M370" s="1219">
        <f>+$E$103</f>
        <v/>
      </c>
      <c r="N370" s="1219">
        <f>+$E$103</f>
        <v/>
      </c>
      <c r="O370" s="1219" t="n"/>
    </row>
    <row r="371" ht="15" customHeight="1">
      <c r="A371" s="307" t="n"/>
      <c r="B371" s="7" t="inlineStr">
        <is>
          <t>Equity injections</t>
        </is>
      </c>
      <c r="C371" s="7" t="n"/>
      <c r="D371" s="7" t="n"/>
      <c r="E371" s="7" t="n"/>
      <c r="F371" s="7" t="n"/>
      <c r="G371" s="7" t="n"/>
      <c r="H371" s="7" t="n"/>
      <c r="I371" s="1218">
        <f>+I231</f>
        <v/>
      </c>
      <c r="J371" s="1219">
        <f>+J231</f>
        <v/>
      </c>
      <c r="K371" s="1219">
        <f>+K231</f>
        <v/>
      </c>
      <c r="L371" s="1219">
        <f>+L231</f>
        <v/>
      </c>
      <c r="M371" s="1219">
        <f>+M231</f>
        <v/>
      </c>
      <c r="N371" s="1219">
        <f>+N231</f>
        <v/>
      </c>
      <c r="O371" s="1219" t="n"/>
    </row>
    <row r="372" ht="15" customHeight="1">
      <c r="A372" s="307" t="n"/>
      <c r="B372" s="7" t="inlineStr">
        <is>
          <t>M&amp;A vendor reinvest</t>
        </is>
      </c>
      <c r="C372" s="7" t="n"/>
      <c r="D372" s="7" t="n"/>
      <c r="E372" s="7" t="n"/>
      <c r="F372" s="7" t="n"/>
      <c r="G372" s="7" t="n"/>
      <c r="H372" s="7" t="n"/>
      <c r="I372" s="1218">
        <f>F112*H112</f>
        <v/>
      </c>
      <c r="J372" s="1219">
        <f>F113*H113</f>
        <v/>
      </c>
      <c r="K372" s="1219">
        <f>F114*H114</f>
        <v/>
      </c>
      <c r="L372" s="1219">
        <f>F115*H115</f>
        <v/>
      </c>
      <c r="M372" s="1219">
        <f>F116*H116</f>
        <v/>
      </c>
      <c r="N372" s="1219">
        <f>F117*H117</f>
        <v/>
      </c>
      <c r="O372" s="1219" t="n"/>
    </row>
    <row r="373" ht="15" customHeight="1">
      <c r="A373" s="307" t="n"/>
      <c r="B373" s="308" t="inlineStr">
        <is>
          <t xml:space="preserve">Total entry equity </t>
        </is>
      </c>
      <c r="C373" s="308" t="n"/>
      <c r="D373" s="308" t="n"/>
      <c r="E373" s="308" t="n"/>
      <c r="F373" s="308" t="n"/>
      <c r="G373" s="308" t="n"/>
      <c r="H373" s="308" t="n"/>
      <c r="I373" s="1255">
        <f>SUM(I370:I372)</f>
        <v/>
      </c>
      <c r="J373" s="1175">
        <f>+J370+SUM($I$371:J371)+SUM($I$372:J372)</f>
        <v/>
      </c>
      <c r="K373" s="1175">
        <f>+K370+SUM($I$371:K371)+SUM($I$372:K372)</f>
        <v/>
      </c>
      <c r="L373" s="1175">
        <f>+L370+SUM($I$371:L371)+SUM($I$372:L372)</f>
        <v/>
      </c>
      <c r="M373" s="1175">
        <f>+M370+SUM($I$371:M371)+SUM($I$372:M372)</f>
        <v/>
      </c>
      <c r="N373" s="1175">
        <f>+N370+SUM($I$371:N371)+SUM($I$372:N372)</f>
        <v/>
      </c>
      <c r="O373" s="1062" t="n"/>
    </row>
    <row r="374" ht="15" customHeight="1" thickBot="1">
      <c r="A374" s="307" t="n"/>
      <c r="B374" s="7" t="inlineStr">
        <is>
          <t>Total exit equity value</t>
        </is>
      </c>
      <c r="I374" s="1206">
        <f>+I362</f>
        <v/>
      </c>
      <c r="J374" s="1062">
        <f>+J362</f>
        <v/>
      </c>
      <c r="K374" s="1062">
        <f>+K362</f>
        <v/>
      </c>
      <c r="L374" s="1062">
        <f>+L362</f>
        <v/>
      </c>
      <c r="M374" s="1062">
        <f>+M362</f>
        <v/>
      </c>
      <c r="N374" s="1062">
        <f>+N362</f>
        <v/>
      </c>
      <c r="O374" s="1062" t="n"/>
    </row>
    <row r="375" ht="15" customHeight="1">
      <c r="A375" s="307" t="n"/>
      <c r="B375" s="155" t="inlineStr">
        <is>
          <t>CtC (x)</t>
        </is>
      </c>
      <c r="C375" s="156" t="n"/>
      <c r="D375" s="156" t="n"/>
      <c r="E375" s="156" t="n"/>
      <c r="F375" s="156" t="n"/>
      <c r="G375" s="156" t="n"/>
      <c r="H375" s="156" t="n"/>
      <c r="I375" s="1256">
        <f>+I374/I373</f>
        <v/>
      </c>
      <c r="J375" s="1257">
        <f>+J374/J373</f>
        <v/>
      </c>
      <c r="K375" s="1257">
        <f>+K374/K373</f>
        <v/>
      </c>
      <c r="L375" s="1257">
        <f>+L374/L373</f>
        <v/>
      </c>
      <c r="M375" s="1257">
        <f>+M374/M373</f>
        <v/>
      </c>
      <c r="N375" s="1258">
        <f>+N374/N373</f>
        <v/>
      </c>
      <c r="O375" s="1253" t="n"/>
    </row>
    <row r="376" ht="15" customHeight="1">
      <c r="A376" s="307" t="n"/>
      <c r="B376" s="159">
        <f>"Capital gain ("&amp;$L$14&amp;")"</f>
        <v/>
      </c>
      <c r="C376" s="139" t="n"/>
      <c r="D376" s="139" t="n"/>
      <c r="E376" s="139" t="n"/>
      <c r="F376" s="139" t="n"/>
      <c r="G376" s="139" t="n"/>
      <c r="H376" s="139" t="n"/>
      <c r="I376" s="1259">
        <f>+I374-I370</f>
        <v/>
      </c>
      <c r="J376" s="1260">
        <f>+J374-J370</f>
        <v/>
      </c>
      <c r="K376" s="1260">
        <f>+K374-K370</f>
        <v/>
      </c>
      <c r="L376" s="1260">
        <f>+L374-L370</f>
        <v/>
      </c>
      <c r="M376" s="1260">
        <f>+M374-M370</f>
        <v/>
      </c>
      <c r="N376" s="1261">
        <f>+N374-N370</f>
        <v/>
      </c>
      <c r="O376" s="1253" t="n"/>
    </row>
    <row r="377" ht="15" customHeight="1" thickBot="1">
      <c r="A377" s="307" t="n"/>
      <c r="B377" s="161" t="inlineStr">
        <is>
          <t>IRR (%)</t>
        </is>
      </c>
      <c r="C377" s="162" t="n"/>
      <c r="D377" s="162" t="n"/>
      <c r="E377" s="162" t="n"/>
      <c r="F377" s="162" t="n"/>
      <c r="G377" s="162" t="n"/>
      <c r="H377" s="162" t="n"/>
      <c r="I377" s="1262">
        <f>+IFERROR((I374/I370)^(1/I$348)-1,"NM")</f>
        <v/>
      </c>
      <c r="J377" s="1263">
        <f>+IFERROR((J374/J370)^(1/J$348)-1,"NM")</f>
        <v/>
      </c>
      <c r="K377" s="1263">
        <f>+IFERROR((K374/K370)^(1/K$348)-1,"NM")</f>
        <v/>
      </c>
      <c r="L377" s="1263">
        <f>+IFERROR((L374/L370)^(1/L$348)-1,"NM")</f>
        <v/>
      </c>
      <c r="M377" s="1263">
        <f>+IFERROR((M374/M370)^(1/M$348)-1,"NM")</f>
        <v/>
      </c>
      <c r="N377" s="1264">
        <f>+IFERROR((N374/N370)^(1/N$348)-1,"NM")</f>
        <v/>
      </c>
      <c r="O377" s="1265" t="n"/>
    </row>
    <row r="378" ht="15" customHeight="1">
      <c r="A378" s="307" t="n"/>
      <c r="I378" s="565" t="n"/>
    </row>
    <row r="379" ht="15" customHeight="1">
      <c r="A379" s="307" t="n"/>
      <c r="B379" s="18" t="inlineStr">
        <is>
          <t>Blixt returns</t>
        </is>
      </c>
      <c r="C379" s="18" t="n"/>
      <c r="D379" s="18" t="n"/>
      <c r="E379" s="18" t="n"/>
      <c r="F379" s="18" t="n"/>
      <c r="G379" s="18" t="n"/>
      <c r="H379" s="18" t="n"/>
      <c r="I379" s="1241" t="n"/>
      <c r="J379" s="1242" t="n"/>
      <c r="K379" s="1242" t="n"/>
      <c r="L379" s="1242" t="n"/>
      <c r="M379" s="1242" t="n"/>
      <c r="N379" s="1242" t="n"/>
      <c r="O379" s="1198" t="n"/>
    </row>
    <row r="380" ht="15" customHeight="1">
      <c r="A380" s="307" t="n"/>
      <c r="B380" s="1" t="inlineStr">
        <is>
          <t>Blixt entry equity value</t>
        </is>
      </c>
      <c r="I380" s="1206">
        <f>+$E$102</f>
        <v/>
      </c>
      <c r="J380" s="1062">
        <f>+$E$102</f>
        <v/>
      </c>
      <c r="K380" s="1062">
        <f>+$E$102</f>
        <v/>
      </c>
      <c r="L380" s="1062">
        <f>+$E$102</f>
        <v/>
      </c>
      <c r="M380" s="1062">
        <f>+$E$102</f>
        <v/>
      </c>
      <c r="N380" s="1062">
        <f>+$E$102</f>
        <v/>
      </c>
      <c r="O380" s="1062" t="n"/>
    </row>
    <row r="381" ht="15" customHeight="1">
      <c r="A381" s="307" t="n"/>
      <c r="B381" s="1" t="inlineStr">
        <is>
          <t>Blixt equity injection</t>
        </is>
      </c>
      <c r="I381" s="1206">
        <f>+I231</f>
        <v/>
      </c>
      <c r="J381" s="1062">
        <f>+J231</f>
        <v/>
      </c>
      <c r="K381" s="1062">
        <f>+K231</f>
        <v/>
      </c>
      <c r="L381" s="1062">
        <f>+L231</f>
        <v/>
      </c>
      <c r="M381" s="1062">
        <f>+M231</f>
        <v/>
      </c>
      <c r="N381" s="1062">
        <f>+N231</f>
        <v/>
      </c>
      <c r="O381" s="1062" t="n"/>
    </row>
    <row r="382" ht="15" customHeight="1">
      <c r="A382" s="307" t="n"/>
      <c r="B382" s="308" t="inlineStr">
        <is>
          <t xml:space="preserve">Total Blixt equity </t>
        </is>
      </c>
      <c r="C382" s="308" t="n"/>
      <c r="D382" s="308" t="n"/>
      <c r="E382" s="308" t="n"/>
      <c r="F382" s="308" t="n"/>
      <c r="G382" s="308" t="n"/>
      <c r="H382" s="308" t="n"/>
      <c r="I382" s="1255">
        <f>SUM(I380:I381)</f>
        <v/>
      </c>
      <c r="J382" s="1175">
        <f>+J380+SUM(I381:J381)</f>
        <v/>
      </c>
      <c r="K382" s="1175">
        <f>+K380+SUM(I381:K381)</f>
        <v/>
      </c>
      <c r="L382" s="1175">
        <f>+L380+SUM(I381:L381)</f>
        <v/>
      </c>
      <c r="M382" s="1175">
        <f>+M380+SUM(I381:M381)</f>
        <v/>
      </c>
      <c r="N382" s="1175">
        <f>+N380+SUM(I381:N381)</f>
        <v/>
      </c>
      <c r="O382" s="1062" t="n"/>
    </row>
    <row r="383" ht="15" customHeight="1">
      <c r="A383" s="307" t="n"/>
      <c r="B383" s="1" t="inlineStr">
        <is>
          <t>Preference shares and loan note</t>
        </is>
      </c>
      <c r="I383" s="1206">
        <f>+I312</f>
        <v/>
      </c>
      <c r="J383" s="1062">
        <f>+J312</f>
        <v/>
      </c>
      <c r="K383" s="1062">
        <f>K312</f>
        <v/>
      </c>
      <c r="L383" s="1062">
        <f>+L312</f>
        <v/>
      </c>
      <c r="M383" s="1062">
        <f>+M312</f>
        <v/>
      </c>
      <c r="N383" s="1062">
        <f>+N312</f>
        <v/>
      </c>
      <c r="O383" s="1062" t="n"/>
    </row>
    <row r="384" ht="15" customHeight="1">
      <c r="A384" s="307" t="n"/>
      <c r="B384" s="1" t="inlineStr">
        <is>
          <t>Ordinary equity</t>
        </is>
      </c>
      <c r="I384" s="1266">
        <f>+I367*Z77</f>
        <v/>
      </c>
      <c r="J384" s="1062">
        <f>+J367*AB77</f>
        <v/>
      </c>
      <c r="K384" s="1062">
        <f>+K367*AD77</f>
        <v/>
      </c>
      <c r="L384" s="1062">
        <f>+L367*AF77</f>
        <v/>
      </c>
      <c r="M384" s="1062">
        <f>+M367*AH77</f>
        <v/>
      </c>
      <c r="N384" s="1062">
        <f>+N367*AJ77</f>
        <v/>
      </c>
      <c r="O384" s="1062" t="n"/>
    </row>
    <row r="385" ht="15" customHeight="1" thickBot="1">
      <c r="A385" s="307" t="n"/>
      <c r="B385" s="449" t="inlineStr">
        <is>
          <t>Total exit value</t>
        </is>
      </c>
      <c r="C385" s="449" t="n"/>
      <c r="D385" s="449" t="n"/>
      <c r="E385" s="449" t="n"/>
      <c r="F385" s="449" t="n"/>
      <c r="G385" s="449" t="n"/>
      <c r="H385" s="449" t="n"/>
      <c r="I385" s="1267">
        <f>+I383+I384</f>
        <v/>
      </c>
      <c r="J385" s="1268">
        <f>+J383+J384</f>
        <v/>
      </c>
      <c r="K385" s="1268">
        <f>+K383+K384</f>
        <v/>
      </c>
      <c r="L385" s="1268">
        <f>+L383+L384</f>
        <v/>
      </c>
      <c r="M385" s="1268">
        <f>+M383+M384</f>
        <v/>
      </c>
      <c r="N385" s="1268">
        <f>+N383+N384</f>
        <v/>
      </c>
      <c r="O385" s="1253" t="n"/>
    </row>
    <row r="386" ht="15" customHeight="1">
      <c r="A386" s="307" t="n"/>
      <c r="B386" s="155" t="inlineStr">
        <is>
          <t>CtC (x)</t>
        </is>
      </c>
      <c r="C386" s="156" t="n"/>
      <c r="D386" s="156" t="n"/>
      <c r="E386" s="156" t="n"/>
      <c r="F386" s="156" t="n"/>
      <c r="G386" s="156" t="n"/>
      <c r="H386" s="156" t="n"/>
      <c r="I386" s="1269">
        <f>+I385/I382</f>
        <v/>
      </c>
      <c r="J386" s="1257">
        <f>+J385/J382</f>
        <v/>
      </c>
      <c r="K386" s="1257">
        <f>+K385/K382</f>
        <v/>
      </c>
      <c r="L386" s="1257">
        <f>+L385/L382</f>
        <v/>
      </c>
      <c r="M386" s="1257">
        <f>+M385/M382</f>
        <v/>
      </c>
      <c r="N386" s="1258">
        <f>+N385/N382</f>
        <v/>
      </c>
      <c r="O386" s="1062" t="n"/>
    </row>
    <row r="387" ht="15" customHeight="1">
      <c r="A387" s="307" t="n"/>
      <c r="B387" s="159">
        <f>"Capital gain ("&amp;$L$14&amp;")"</f>
        <v/>
      </c>
      <c r="C387" s="139" t="n"/>
      <c r="D387" s="139" t="n"/>
      <c r="E387" s="139" t="n"/>
      <c r="F387" s="139" t="n"/>
      <c r="G387" s="139" t="n"/>
      <c r="H387" s="139" t="n"/>
      <c r="I387" s="1270">
        <f>+I385-I382</f>
        <v/>
      </c>
      <c r="J387" s="1260">
        <f>+J385-J382</f>
        <v/>
      </c>
      <c r="K387" s="1260">
        <f>+K385-K382</f>
        <v/>
      </c>
      <c r="L387" s="1260">
        <f>+L385-L382</f>
        <v/>
      </c>
      <c r="M387" s="1260">
        <f>+M385-M382</f>
        <v/>
      </c>
      <c r="N387" s="1261">
        <f>+N385-N382</f>
        <v/>
      </c>
      <c r="O387" s="1062" t="n"/>
    </row>
    <row r="388" ht="15" customHeight="1" thickBot="1">
      <c r="A388" s="307" t="n"/>
      <c r="B388" s="161" t="inlineStr">
        <is>
          <t>IRR (%)</t>
        </is>
      </c>
      <c r="C388" s="162" t="n"/>
      <c r="D388" s="162" t="n"/>
      <c r="E388" s="162" t="n"/>
      <c r="F388" s="162" t="n"/>
      <c r="G388" s="162" t="n"/>
      <c r="H388" s="162" t="n"/>
      <c r="I388" s="1271">
        <f>+IFERROR((I385/I382)^(1/I$348)-1,"NM")</f>
        <v/>
      </c>
      <c r="J388" s="1263">
        <f>+IFERROR((J385/J382)^(1/J$348)-1,"NM")</f>
        <v/>
      </c>
      <c r="K388" s="1263">
        <f>+IFERROR((K385/K382)^(1/K$348)-1,"NM")</f>
        <v/>
      </c>
      <c r="L388" s="1263">
        <f>+IFERROR((L385/L382)^(1/L$348)-1,"NM")</f>
        <v/>
      </c>
      <c r="M388" s="1263">
        <f>+IFERROR((M385/M382)^(1/M$348)-1,"NM")</f>
        <v/>
      </c>
      <c r="N388" s="1264">
        <f>+IFERROR((N385/N382)^(1/N$348)-1,"NM")</f>
        <v/>
      </c>
      <c r="O388" s="1062" t="n"/>
    </row>
    <row r="389" outlineLevel="1" ht="15" customHeight="1">
      <c r="A389" s="307" t="n"/>
      <c r="I389" s="634" t="n"/>
    </row>
    <row r="390" outlineLevel="1" ht="15" customHeight="1">
      <c r="A390" s="307" t="n"/>
      <c r="B390" s="18" t="inlineStr">
        <is>
          <t>Management returns</t>
        </is>
      </c>
      <c r="C390" s="18" t="n"/>
      <c r="D390" s="18" t="n"/>
      <c r="E390" s="18" t="n"/>
      <c r="F390" s="18" t="n"/>
      <c r="G390" s="18" t="n"/>
      <c r="H390" s="18" t="n"/>
      <c r="I390" s="1272" t="n"/>
      <c r="J390" s="1242" t="n"/>
      <c r="K390" s="1242" t="n"/>
      <c r="L390" s="1242" t="n"/>
      <c r="M390" s="1242" t="n"/>
      <c r="N390" s="1242" t="n"/>
      <c r="O390" s="1198" t="n"/>
    </row>
    <row r="391" outlineLevel="1" ht="15" customHeight="1">
      <c r="A391" s="307" t="n"/>
      <c r="B391" s="1" t="inlineStr">
        <is>
          <t>Management entry equity value</t>
        </is>
      </c>
      <c r="I391" s="1266">
        <f>+$E$101</f>
        <v/>
      </c>
      <c r="J391" s="1062">
        <f>+$E$101</f>
        <v/>
      </c>
      <c r="K391" s="1062">
        <f>+$E$101</f>
        <v/>
      </c>
      <c r="L391" s="1062">
        <f>+$E$101</f>
        <v/>
      </c>
      <c r="M391" s="1062">
        <f>+$E$101</f>
        <v/>
      </c>
      <c r="N391" s="1062">
        <f>+$E$101</f>
        <v/>
      </c>
      <c r="O391" s="1062" t="n"/>
    </row>
    <row r="392" outlineLevel="1" ht="15" customHeight="1">
      <c r="A392" s="307" t="n"/>
      <c r="B392" s="308" t="inlineStr">
        <is>
          <t>Preference shares</t>
        </is>
      </c>
      <c r="C392" s="308" t="n"/>
      <c r="D392" s="308" t="n"/>
      <c r="E392" s="308" t="n"/>
      <c r="F392" s="308" t="n"/>
      <c r="G392" s="308" t="n"/>
      <c r="H392" s="308" t="n"/>
      <c r="I392" s="1273">
        <f>+I322</f>
        <v/>
      </c>
      <c r="J392" s="1175">
        <f>+J322</f>
        <v/>
      </c>
      <c r="K392" s="1175">
        <f>+K322</f>
        <v/>
      </c>
      <c r="L392" s="1175">
        <f>+L322</f>
        <v/>
      </c>
      <c r="M392" s="1175">
        <f>+M322</f>
        <v/>
      </c>
      <c r="N392" s="1175">
        <f>+N322</f>
        <v/>
      </c>
      <c r="O392" s="1062" t="n"/>
    </row>
    <row r="393" outlineLevel="1" ht="15" customHeight="1">
      <c r="A393" s="307" t="n"/>
      <c r="B393" s="1" t="inlineStr">
        <is>
          <t>Ordinary equity</t>
        </is>
      </c>
      <c r="I393" s="1266">
        <f>+I367*Z76</f>
        <v/>
      </c>
      <c r="J393" s="1062">
        <f>+J367*AB76</f>
        <v/>
      </c>
      <c r="K393" s="1062">
        <f>+K367*AD76</f>
        <v/>
      </c>
      <c r="L393" s="1062">
        <f>+L367*AF76</f>
        <v/>
      </c>
      <c r="M393" s="1062">
        <f>+M367*AH76</f>
        <v/>
      </c>
      <c r="N393" s="1062">
        <f>+N367*AJ76</f>
        <v/>
      </c>
      <c r="O393" s="1062" t="n"/>
    </row>
    <row r="394" outlineLevel="1" ht="15" customHeight="1" thickBot="1">
      <c r="A394" s="307" t="n"/>
      <c r="B394" s="308" t="inlineStr">
        <is>
          <t>Total exit value</t>
        </is>
      </c>
      <c r="C394" s="308" t="n"/>
      <c r="D394" s="308" t="n"/>
      <c r="E394" s="308" t="n"/>
      <c r="F394" s="308" t="n"/>
      <c r="G394" s="308" t="n"/>
      <c r="H394" s="308" t="n"/>
      <c r="I394" s="1273">
        <f>+I392+I393</f>
        <v/>
      </c>
      <c r="J394" s="1175">
        <f>+J392+J393</f>
        <v/>
      </c>
      <c r="K394" s="1175">
        <f>+K392+K393</f>
        <v/>
      </c>
      <c r="L394" s="1175">
        <f>+L392+L393</f>
        <v/>
      </c>
      <c r="M394" s="1175">
        <f>+M392+M393</f>
        <v/>
      </c>
      <c r="N394" s="1175">
        <f>+N392+N393</f>
        <v/>
      </c>
      <c r="O394" s="1062" t="n"/>
    </row>
    <row r="395" outlineLevel="1" ht="15" customHeight="1">
      <c r="A395" s="307" t="n"/>
      <c r="B395" s="155" t="inlineStr">
        <is>
          <t>CtC (x)</t>
        </is>
      </c>
      <c r="C395" s="156" t="n"/>
      <c r="D395" s="156" t="n"/>
      <c r="E395" s="156" t="n"/>
      <c r="F395" s="156" t="n"/>
      <c r="G395" s="156" t="n"/>
      <c r="H395" s="156" t="n"/>
      <c r="I395" s="1274">
        <f>+I394/I391</f>
        <v/>
      </c>
      <c r="J395" s="1275">
        <f>+J394/J391</f>
        <v/>
      </c>
      <c r="K395" s="1275">
        <f>+K394/K391</f>
        <v/>
      </c>
      <c r="L395" s="1275">
        <f>+L394/L391</f>
        <v/>
      </c>
      <c r="M395" s="1275">
        <f>+M394/M391</f>
        <v/>
      </c>
      <c r="N395" s="1276">
        <f>+N394/N391</f>
        <v/>
      </c>
      <c r="O395" s="1062" t="n"/>
    </row>
    <row r="396" outlineLevel="1" ht="15" customHeight="1">
      <c r="A396" s="307" t="n"/>
      <c r="B396" s="159">
        <f>"Capital Gain ("&amp;$L$14&amp;")"</f>
        <v/>
      </c>
      <c r="C396" s="139" t="n"/>
      <c r="D396" s="139" t="n"/>
      <c r="E396" s="139" t="n"/>
      <c r="F396" s="139" t="n"/>
      <c r="G396" s="139" t="n"/>
      <c r="H396" s="139" t="n"/>
      <c r="I396" s="1270">
        <f>+I394-I391</f>
        <v/>
      </c>
      <c r="J396" s="1260">
        <f>+J394-J391</f>
        <v/>
      </c>
      <c r="K396" s="1260">
        <f>+K394-K391</f>
        <v/>
      </c>
      <c r="L396" s="1260">
        <f>+L394-L391</f>
        <v/>
      </c>
      <c r="M396" s="1260">
        <f>+M394-M391</f>
        <v/>
      </c>
      <c r="N396" s="1261">
        <f>+N394-N391</f>
        <v/>
      </c>
      <c r="O396" s="1062" t="n"/>
    </row>
    <row r="397" outlineLevel="1" ht="15" customHeight="1" thickBot="1">
      <c r="A397" s="307" t="n"/>
      <c r="B397" s="161" t="inlineStr">
        <is>
          <t>IRR (%)</t>
        </is>
      </c>
      <c r="C397" s="162" t="n"/>
      <c r="D397" s="162" t="n"/>
      <c r="E397" s="162" t="n"/>
      <c r="F397" s="162" t="n"/>
      <c r="G397" s="162" t="n"/>
      <c r="H397" s="162" t="n"/>
      <c r="I397" s="1271">
        <f>+IFERROR((I394/I391)^(1/I$348)-1,"NM")</f>
        <v/>
      </c>
      <c r="J397" s="1263">
        <f>+IFERROR((J394/J391)^(1/J$348)-1,"NM")</f>
        <v/>
      </c>
      <c r="K397" s="1263">
        <f>+IFERROR((K394/K391)^(1/K$348)-1,"NM")</f>
        <v/>
      </c>
      <c r="L397" s="1263">
        <f>+IFERROR((L394/L391)^(1/L$348)-1,"NM")</f>
        <v/>
      </c>
      <c r="M397" s="1263">
        <f>+IFERROR((M394/M391)^(1/M$348)-1,"NM")</f>
        <v/>
      </c>
      <c r="N397" s="1264">
        <f>+IFERROR((N394/N391)^(1/N$348)-1,"NM")</f>
        <v/>
      </c>
      <c r="O397" s="1277" t="n"/>
    </row>
    <row r="398" outlineLevel="1" ht="15" customHeight="1">
      <c r="A398" s="307" t="n"/>
      <c r="I398" s="1278" t="n"/>
      <c r="J398" s="1277" t="n"/>
      <c r="K398" s="1277" t="n"/>
      <c r="L398" s="1277" t="n"/>
      <c r="M398" s="1277" t="n"/>
      <c r="N398" s="1277" t="n"/>
      <c r="O398" s="1277" t="n"/>
    </row>
    <row r="399" outlineLevel="1" ht="15" customHeight="1">
      <c r="A399" s="307" t="n"/>
      <c r="B399" s="18" t="inlineStr">
        <is>
          <t>Vendor returns</t>
        </is>
      </c>
      <c r="C399" s="18" t="n"/>
      <c r="D399" s="18" t="n"/>
      <c r="E399" s="18" t="n"/>
      <c r="F399" s="18" t="n"/>
      <c r="G399" s="18" t="n"/>
      <c r="H399" s="18" t="n"/>
      <c r="I399" s="1272" t="n"/>
      <c r="J399" s="1242" t="n"/>
      <c r="K399" s="1242" t="n"/>
      <c r="L399" s="1242" t="n"/>
      <c r="M399" s="1242" t="n"/>
      <c r="N399" s="1242" t="n"/>
      <c r="O399" s="1198" t="n"/>
    </row>
    <row r="400" outlineLevel="1" ht="15" customHeight="1">
      <c r="A400" s="307" t="n"/>
      <c r="B400" s="1" t="inlineStr">
        <is>
          <t>Vendor loan</t>
        </is>
      </c>
      <c r="I400" s="1266">
        <f>+$E$82</f>
        <v/>
      </c>
      <c r="J400" s="1062">
        <f>+$E$82</f>
        <v/>
      </c>
      <c r="K400" s="1062">
        <f>+$E$82</f>
        <v/>
      </c>
      <c r="L400" s="1062">
        <f>+$E$82</f>
        <v/>
      </c>
      <c r="M400" s="1062">
        <f>+$E$82</f>
        <v/>
      </c>
      <c r="N400" s="1062">
        <f>+$E$82</f>
        <v/>
      </c>
      <c r="O400" s="1279" t="n"/>
    </row>
    <row r="401" outlineLevel="1" ht="15" customHeight="1">
      <c r="A401" s="307" t="n"/>
      <c r="B401" s="1" t="inlineStr">
        <is>
          <t>Vendor entry equity value</t>
        </is>
      </c>
      <c r="I401" s="1266">
        <f>+$E$100</f>
        <v/>
      </c>
      <c r="J401" s="1062">
        <f>+$E$100</f>
        <v/>
      </c>
      <c r="K401" s="1062">
        <f>+$E$100</f>
        <v/>
      </c>
      <c r="L401" s="1062">
        <f>+$E$100</f>
        <v/>
      </c>
      <c r="M401" s="1062">
        <f>+$E$100</f>
        <v/>
      </c>
      <c r="N401" s="1062">
        <f>+$E$100</f>
        <v/>
      </c>
      <c r="O401" s="1279" t="n"/>
    </row>
    <row r="402" outlineLevel="1" ht="15" customHeight="1">
      <c r="A402" s="307" t="n"/>
      <c r="B402" s="308" t="inlineStr">
        <is>
          <t>Vendor entry equity value</t>
        </is>
      </c>
      <c r="C402" s="308" t="n"/>
      <c r="D402" s="308" t="n"/>
      <c r="E402" s="308" t="n"/>
      <c r="F402" s="308" t="n"/>
      <c r="G402" s="308" t="n"/>
      <c r="H402" s="308" t="n"/>
      <c r="I402" s="1273">
        <f>SUM(I400:I401)</f>
        <v/>
      </c>
      <c r="J402" s="1175">
        <f>SUM(J400:J401)</f>
        <v/>
      </c>
      <c r="K402" s="1175">
        <f>SUM(K400:K401)</f>
        <v/>
      </c>
      <c r="L402" s="1175">
        <f>SUM(L400:L401)</f>
        <v/>
      </c>
      <c r="M402" s="1175">
        <f>SUM(M400:M401)</f>
        <v/>
      </c>
      <c r="N402" s="1175">
        <f>SUM(N400:N401)</f>
        <v/>
      </c>
      <c r="O402" s="1279" t="n"/>
    </row>
    <row r="403" outlineLevel="1" ht="15" customHeight="1">
      <c r="A403" s="307" t="n"/>
      <c r="B403" s="1" t="inlineStr">
        <is>
          <t>Vendor loan note and preference shares</t>
        </is>
      </c>
      <c r="I403" s="1266">
        <f>+I306+I317</f>
        <v/>
      </c>
      <c r="J403" s="1062">
        <f>+J306+J317</f>
        <v/>
      </c>
      <c r="K403" s="1062">
        <f>+K306+K317</f>
        <v/>
      </c>
      <c r="L403" s="1062">
        <f>+L306+L317</f>
        <v/>
      </c>
      <c r="M403" s="1062">
        <f>+M306+M317</f>
        <v/>
      </c>
      <c r="N403" s="1062">
        <f>+N306+N317</f>
        <v/>
      </c>
      <c r="O403" s="1279" t="n"/>
    </row>
    <row r="404" outlineLevel="1" ht="15" customHeight="1">
      <c r="A404" s="307" t="n"/>
      <c r="B404" s="1" t="inlineStr">
        <is>
          <t>Ordinary equity</t>
        </is>
      </c>
      <c r="I404" s="1266">
        <f>+I367*Z74</f>
        <v/>
      </c>
      <c r="J404" s="1062">
        <f>+J367*AB74</f>
        <v/>
      </c>
      <c r="K404" s="1062">
        <f>+K367*AD74</f>
        <v/>
      </c>
      <c r="L404" s="1062">
        <f>+L367*AF74</f>
        <v/>
      </c>
      <c r="M404" s="1062">
        <f>+M367*AH74</f>
        <v/>
      </c>
      <c r="N404" s="1062">
        <f>+N367*AJ74</f>
        <v/>
      </c>
      <c r="O404" s="1280" t="n"/>
    </row>
    <row r="405" outlineLevel="1" ht="15" customHeight="1" thickBot="1">
      <c r="A405" s="307" t="n"/>
      <c r="B405" s="308" t="inlineStr">
        <is>
          <t>Total exit value</t>
        </is>
      </c>
      <c r="C405" s="308" t="n"/>
      <c r="D405" s="308" t="n"/>
      <c r="E405" s="308" t="n"/>
      <c r="F405" s="308" t="n"/>
      <c r="G405" s="308" t="n"/>
      <c r="H405" s="308" t="n"/>
      <c r="I405" s="1273">
        <f>+I403+I404</f>
        <v/>
      </c>
      <c r="J405" s="1175">
        <f>+J403+J404</f>
        <v/>
      </c>
      <c r="K405" s="1175">
        <f>+K403+K404</f>
        <v/>
      </c>
      <c r="L405" s="1175">
        <f>+L403+L404</f>
        <v/>
      </c>
      <c r="M405" s="1175">
        <f>+M403+M404</f>
        <v/>
      </c>
      <c r="N405" s="1175">
        <f>+N403+N404</f>
        <v/>
      </c>
      <c r="O405" s="1280" t="n"/>
    </row>
    <row r="406" outlineLevel="1" ht="15" customHeight="1">
      <c r="A406" s="307" t="n"/>
      <c r="B406" s="155" t="inlineStr">
        <is>
          <t>CtC (x)</t>
        </is>
      </c>
      <c r="C406" s="156" t="n"/>
      <c r="D406" s="156" t="n"/>
      <c r="E406" s="156" t="n"/>
      <c r="F406" s="156" t="n"/>
      <c r="G406" s="156" t="n"/>
      <c r="H406" s="156" t="n"/>
      <c r="I406" s="1274">
        <f>+I405/I402</f>
        <v/>
      </c>
      <c r="J406" s="1275">
        <f>+J405/J402</f>
        <v/>
      </c>
      <c r="K406" s="1275">
        <f>+K405/K402</f>
        <v/>
      </c>
      <c r="L406" s="1275">
        <f>+L405/L402</f>
        <v/>
      </c>
      <c r="M406" s="1275">
        <f>+M405/M402</f>
        <v/>
      </c>
      <c r="N406" s="1276">
        <f>+N405/N402</f>
        <v/>
      </c>
      <c r="O406" s="1280" t="n"/>
    </row>
    <row r="407" outlineLevel="1" ht="15" customHeight="1">
      <c r="A407" s="307" t="n"/>
      <c r="B407" s="159">
        <f>"Capital Gain ("&amp;$L$14&amp;")"</f>
        <v/>
      </c>
      <c r="C407" s="139" t="n"/>
      <c r="D407" s="139" t="n"/>
      <c r="E407" s="139" t="n"/>
      <c r="F407" s="139" t="n"/>
      <c r="G407" s="139" t="n"/>
      <c r="H407" s="139" t="n"/>
      <c r="I407" s="1270">
        <f>+I405-I402</f>
        <v/>
      </c>
      <c r="J407" s="1260">
        <f>+J405-J402</f>
        <v/>
      </c>
      <c r="K407" s="1260">
        <f>+K405-K402</f>
        <v/>
      </c>
      <c r="L407" s="1260">
        <f>+L405-L402</f>
        <v/>
      </c>
      <c r="M407" s="1260">
        <f>+M405-M402</f>
        <v/>
      </c>
      <c r="N407" s="1261">
        <f>+N405-N402</f>
        <v/>
      </c>
      <c r="O407" s="1277" t="n"/>
    </row>
    <row r="408" outlineLevel="1" ht="15" customHeight="1" thickBot="1">
      <c r="A408" s="307" t="n"/>
      <c r="B408" s="161" t="inlineStr">
        <is>
          <t>IRR (%)</t>
        </is>
      </c>
      <c r="C408" s="162" t="n"/>
      <c r="D408" s="162" t="n"/>
      <c r="E408" s="162" t="n"/>
      <c r="F408" s="162" t="n"/>
      <c r="G408" s="162" t="n"/>
      <c r="H408" s="162" t="n"/>
      <c r="I408" s="1262">
        <f>+IFERROR((I405/I402)^(1/I$348)-1,"NM")</f>
        <v/>
      </c>
      <c r="J408" s="1263">
        <f>+IFERROR((J405/J402)^(1/J$348)-1,"NM")</f>
        <v/>
      </c>
      <c r="K408" s="1263">
        <f>+IFERROR((K405/K402)^(1/K$348)-1,"NM")</f>
        <v/>
      </c>
      <c r="L408" s="1263">
        <f>+IFERROR((L405/L402)^(1/L$348)-1,"NM")</f>
        <v/>
      </c>
      <c r="M408" s="1263">
        <f>+IFERROR((M405/M402)^(1/M$348)-1,"NM")</f>
        <v/>
      </c>
      <c r="N408" s="1264">
        <f>+IFERROR((N405/N402)^(1/N$348)-1,"NM")</f>
        <v/>
      </c>
      <c r="O408" s="1068" t="n"/>
    </row>
    <row r="409" outlineLevel="1" ht="15" customHeight="1">
      <c r="A409" s="307" t="n"/>
      <c r="G409" s="1281" t="n"/>
      <c r="H409" s="1281" t="n"/>
      <c r="I409" s="1266" t="n"/>
      <c r="J409" s="1281" t="n"/>
      <c r="K409" s="1068" t="n"/>
      <c r="L409" s="1068" t="n"/>
      <c r="M409" s="1068" t="n"/>
      <c r="N409" s="1068" t="n"/>
      <c r="O409" s="1068" t="n"/>
    </row>
    <row r="410" outlineLevel="1" ht="15" customHeight="1">
      <c r="A410" s="307" t="n"/>
      <c r="B410" s="18" t="inlineStr">
        <is>
          <t>Tuck-in vendor returns</t>
        </is>
      </c>
      <c r="C410" s="18" t="n"/>
      <c r="D410" s="18" t="n"/>
      <c r="E410" s="18" t="n"/>
      <c r="F410" s="18" t="n"/>
      <c r="G410" s="18" t="n"/>
      <c r="H410" s="18" t="n"/>
      <c r="I410" s="1272" t="n"/>
      <c r="J410" s="1242" t="n"/>
      <c r="K410" s="1242" t="n"/>
      <c r="L410" s="1242" t="n"/>
      <c r="M410" s="1242" t="n"/>
      <c r="N410" s="1242" t="n"/>
      <c r="O410" s="1198" t="n"/>
    </row>
    <row r="411" outlineLevel="1" ht="15" customHeight="1">
      <c r="A411" s="307" t="n"/>
      <c r="B411" s="1" t="inlineStr">
        <is>
          <t>Vendor loan</t>
        </is>
      </c>
      <c r="I411" s="1266" t="n">
        <v>0</v>
      </c>
      <c r="J411" s="1062" t="n">
        <v>0</v>
      </c>
      <c r="K411" s="1062" t="n">
        <v>0</v>
      </c>
      <c r="L411" s="1062" t="n">
        <v>0</v>
      </c>
      <c r="M411" s="1062" t="n">
        <v>0</v>
      </c>
      <c r="N411" s="1062" t="n">
        <v>0</v>
      </c>
      <c r="O411" s="1279" t="n"/>
    </row>
    <row r="412" outlineLevel="1" ht="15" customHeight="1">
      <c r="A412" s="307" t="n"/>
      <c r="B412" s="1" t="inlineStr">
        <is>
          <t>Tuck-in reinvestment</t>
        </is>
      </c>
      <c r="I412" s="1266">
        <f>F112*H112</f>
        <v/>
      </c>
      <c r="J412" s="1062">
        <f>F113*H113</f>
        <v/>
      </c>
      <c r="K412" s="1062">
        <f>F114*H114</f>
        <v/>
      </c>
      <c r="L412" s="1062">
        <f>F115*H115</f>
        <v/>
      </c>
      <c r="M412" s="1062">
        <f>F116*H116</f>
        <v/>
      </c>
      <c r="N412" s="1062">
        <f>F117*H117</f>
        <v/>
      </c>
      <c r="O412" s="1279" t="n"/>
    </row>
    <row r="413" outlineLevel="1" ht="15" customHeight="1">
      <c r="A413" s="307" t="n"/>
      <c r="B413" s="308" t="inlineStr">
        <is>
          <t>Entry equity value</t>
        </is>
      </c>
      <c r="C413" s="308" t="n"/>
      <c r="D413" s="308" t="n"/>
      <c r="E413" s="308" t="n"/>
      <c r="F413" s="308" t="n"/>
      <c r="G413" s="308" t="n"/>
      <c r="H413" s="308" t="n"/>
      <c r="I413" s="1273">
        <f>SUM(I411:I412)</f>
        <v/>
      </c>
      <c r="J413" s="1175">
        <f>I413+J412</f>
        <v/>
      </c>
      <c r="K413" s="1175">
        <f>J413+K412</f>
        <v/>
      </c>
      <c r="L413" s="1175">
        <f>K413+L412</f>
        <v/>
      </c>
      <c r="M413" s="1175">
        <f>L413+M412</f>
        <v/>
      </c>
      <c r="N413" s="1175">
        <f>M413+N412</f>
        <v/>
      </c>
      <c r="O413" s="1279" t="n"/>
    </row>
    <row r="414" outlineLevel="1" ht="15" customHeight="1">
      <c r="A414" s="307" t="n"/>
      <c r="B414" s="1" t="inlineStr">
        <is>
          <t>Preference shares</t>
        </is>
      </c>
      <c r="I414" s="1266">
        <f>I328</f>
        <v/>
      </c>
      <c r="J414" s="1062">
        <f>J328</f>
        <v/>
      </c>
      <c r="K414" s="1062">
        <f>K328</f>
        <v/>
      </c>
      <c r="L414" s="1062">
        <f>L328</f>
        <v/>
      </c>
      <c r="M414" s="1062">
        <f>M328</f>
        <v/>
      </c>
      <c r="N414" s="1062">
        <f>N328</f>
        <v/>
      </c>
      <c r="O414" s="1279" t="n"/>
    </row>
    <row r="415" outlineLevel="1" ht="15" customHeight="1">
      <c r="A415" s="307" t="n"/>
      <c r="B415" s="1" t="inlineStr">
        <is>
          <t>Ordinary equity</t>
        </is>
      </c>
      <c r="I415" s="1266">
        <f>I367*Z75</f>
        <v/>
      </c>
      <c r="J415" s="1062">
        <f>J367*AB75</f>
        <v/>
      </c>
      <c r="K415" s="1062">
        <f>K367*AD75</f>
        <v/>
      </c>
      <c r="L415" s="1062">
        <f>L367*AF75</f>
        <v/>
      </c>
      <c r="M415" s="1062">
        <f>M367*AH75</f>
        <v/>
      </c>
      <c r="N415" s="1062">
        <f>N367*AJ75</f>
        <v/>
      </c>
      <c r="O415" s="1280" t="n"/>
    </row>
    <row r="416" outlineLevel="1" ht="15" customHeight="1" thickBot="1">
      <c r="A416" s="307" t="n"/>
      <c r="B416" s="308" t="inlineStr">
        <is>
          <t>Total exit value</t>
        </is>
      </c>
      <c r="C416" s="308" t="n"/>
      <c r="D416" s="308" t="n"/>
      <c r="E416" s="308" t="n"/>
      <c r="F416" s="308" t="n"/>
      <c r="G416" s="308" t="n"/>
      <c r="H416" s="308" t="n"/>
      <c r="I416" s="1273">
        <f>+I414+I415</f>
        <v/>
      </c>
      <c r="J416" s="1175">
        <f>+J414+J415</f>
        <v/>
      </c>
      <c r="K416" s="1175">
        <f>+K414+K415</f>
        <v/>
      </c>
      <c r="L416" s="1175">
        <f>+L414+L415</f>
        <v/>
      </c>
      <c r="M416" s="1175">
        <f>+M414+M415</f>
        <v/>
      </c>
      <c r="N416" s="1175">
        <f>+N414+N415</f>
        <v/>
      </c>
      <c r="O416" s="1280" t="n"/>
    </row>
    <row r="417" outlineLevel="1" ht="15" customHeight="1">
      <c r="A417" s="307" t="n"/>
      <c r="B417" s="155" t="inlineStr">
        <is>
          <t>CtC (x)</t>
        </is>
      </c>
      <c r="C417" s="156" t="n"/>
      <c r="D417" s="156" t="n"/>
      <c r="E417" s="156" t="n"/>
      <c r="F417" s="156" t="n"/>
      <c r="G417" s="156" t="n"/>
      <c r="H417" s="156" t="n"/>
      <c r="I417" s="1282">
        <f>IFERROR(+I416/I413,"NM")</f>
        <v/>
      </c>
      <c r="J417" s="1283">
        <f>IFERROR(+J416/J413,"NM")</f>
        <v/>
      </c>
      <c r="K417" s="1283">
        <f>IFERROR(+K416/K413,"NM")</f>
        <v/>
      </c>
      <c r="L417" s="1283">
        <f>IFERROR(+L416/L413,"NM")</f>
        <v/>
      </c>
      <c r="M417" s="1283">
        <f>IFERROR(+M416/M413,"NM")</f>
        <v/>
      </c>
      <c r="N417" s="1284">
        <f>IFERROR(+N416/N413,"NM")</f>
        <v/>
      </c>
      <c r="O417" s="1280" t="n"/>
    </row>
    <row r="418" outlineLevel="1" ht="15" customHeight="1">
      <c r="A418" s="307" t="n"/>
      <c r="B418" s="159">
        <f>"Capital Gain ("&amp;$L$14&amp;")"</f>
        <v/>
      </c>
      <c r="C418" s="139" t="n"/>
      <c r="D418" s="139" t="n"/>
      <c r="E418" s="139" t="n"/>
      <c r="F418" s="139" t="n"/>
      <c r="G418" s="139" t="n"/>
      <c r="H418" s="139" t="n"/>
      <c r="I418" s="1270">
        <f>+I416-I413</f>
        <v/>
      </c>
      <c r="J418" s="1260">
        <f>+J416-J413</f>
        <v/>
      </c>
      <c r="K418" s="1260">
        <f>+K416-K413</f>
        <v/>
      </c>
      <c r="L418" s="1260">
        <f>+L416-L413</f>
        <v/>
      </c>
      <c r="M418" s="1260">
        <f>+M416-M413</f>
        <v/>
      </c>
      <c r="N418" s="1261">
        <f>+N416-N413</f>
        <v/>
      </c>
      <c r="O418" s="1277" t="n"/>
    </row>
    <row r="419" outlineLevel="1" ht="15" customHeight="1" thickBot="1">
      <c r="A419" s="307" t="n"/>
      <c r="B419" s="161" t="inlineStr">
        <is>
          <t>IRR (%)</t>
        </is>
      </c>
      <c r="C419" s="162" t="n"/>
      <c r="D419" s="162" t="n"/>
      <c r="E419" s="162" t="n"/>
      <c r="F419" s="162" t="n"/>
      <c r="G419" s="162" t="n"/>
      <c r="H419" s="162" t="n"/>
      <c r="I419" s="1262">
        <f>+IFERROR((I416/I413)^(1/I$348)-1,"NM")</f>
        <v/>
      </c>
      <c r="J419" s="1263">
        <f>+IFERROR((J416/J413)^(1/J$348)-1,"NM")</f>
        <v/>
      </c>
      <c r="K419" s="1263">
        <f>+IFERROR((K416/K413)^(1/K$348)-1,"NM")</f>
        <v/>
      </c>
      <c r="L419" s="1263">
        <f>+IFERROR((L416/L413)^(1/L$348)-1,"NM")</f>
        <v/>
      </c>
      <c r="M419" s="1263">
        <f>+IFERROR((M416/M413)^(1/M$348)-1,"NM")</f>
        <v/>
      </c>
      <c r="N419" s="1264">
        <f>+IFERROR((N416/N413)^(1/N$348)-1,"NM")</f>
        <v/>
      </c>
      <c r="O419" s="1068" t="n"/>
    </row>
    <row r="420" outlineLevel="1" ht="15" customHeight="1">
      <c r="A420" s="307" t="n"/>
      <c r="G420" s="1281" t="n"/>
      <c r="H420" s="1281" t="n"/>
      <c r="I420" s="1281" t="n"/>
      <c r="J420" s="1281" t="n"/>
      <c r="K420" s="1068" t="n"/>
      <c r="L420" s="1068" t="n"/>
      <c r="M420" s="1068" t="n"/>
      <c r="N420" s="1068" t="n"/>
      <c r="O420" s="1068" t="n"/>
    </row>
    <row r="421" outlineLevel="1" ht="15" customFormat="1" customHeight="1" s="30">
      <c r="A421" s="606" t="n"/>
      <c r="B421" s="30" t="inlineStr">
        <is>
          <t>check</t>
        </is>
      </c>
      <c r="C421" s="1136">
        <f>COUNTIF(I421:N421,"&lt;&gt;0")</f>
        <v/>
      </c>
      <c r="G421" s="1285" t="n"/>
      <c r="H421" s="1285" t="n"/>
      <c r="I421" s="1136">
        <f>ROUND(+I382+I391+I402-$E$82-I373+SUM($I$372:I372),1)</f>
        <v/>
      </c>
      <c r="J421" s="1136">
        <f>ROUND(+J382+J391+J402-$E$82-J373+SUM($I$372:J372),1)</f>
        <v/>
      </c>
      <c r="K421" s="1136">
        <f>ROUND(+K382+K391+K402-$E$82-K373+SUM($I$372:K372),1)</f>
        <v/>
      </c>
      <c r="L421" s="1136">
        <f>ROUND(+L382+L391+L402-$E$82-L373+SUM($I$372:L372),1)</f>
        <v/>
      </c>
      <c r="M421" s="1136">
        <f>ROUND(+M382+M391+M402-$E$82-M373+SUM($I$372:M372),1)</f>
        <v/>
      </c>
      <c r="N421" s="1136">
        <f>ROUND(+N382+N391+N402-$E$82-N373+SUM($I$372:N372),1)</f>
        <v/>
      </c>
      <c r="O421" s="1286" t="n"/>
    </row>
    <row r="422" outlineLevel="1" ht="15" customFormat="1" customHeight="1" s="30">
      <c r="A422" s="606" t="n"/>
      <c r="B422" s="30" t="inlineStr">
        <is>
          <t>check</t>
        </is>
      </c>
      <c r="C422" s="1136">
        <f>COUNTIF(I422:N422,"&lt;&gt;0")</f>
        <v/>
      </c>
      <c r="G422" s="1285" t="n"/>
      <c r="H422" s="1285" t="n"/>
      <c r="I422" s="1136">
        <f>ROUND(+I385+I394+I405-I306+-I362,1)</f>
        <v/>
      </c>
      <c r="J422" s="1136">
        <f>ROUND(+J385+J394+J405+J416-J306+-J362,1)</f>
        <v/>
      </c>
      <c r="K422" s="1136">
        <f>ROUND(+K385+K394+K405+K416-K306+-K362,1)</f>
        <v/>
      </c>
      <c r="L422" s="1136">
        <f>ROUND(+L385+L394+L405+L416-L306+-L362,1)</f>
        <v/>
      </c>
      <c r="M422" s="1136">
        <f>ROUND(+M385+M394+M405+M416-M306+-M362,1)</f>
        <v/>
      </c>
      <c r="N422" s="1136">
        <f>ROUND(+N385+N394+N405+N416-N306+-N362,1)</f>
        <v/>
      </c>
      <c r="O422" s="1286" t="n"/>
    </row>
    <row r="423" ht="15" customHeight="1">
      <c r="A423" s="307" t="n"/>
      <c r="G423" s="1281" t="n"/>
      <c r="H423" s="1281" t="n"/>
      <c r="I423" s="1281" t="n"/>
      <c r="J423" s="1281" t="n"/>
      <c r="K423" s="1068" t="n"/>
      <c r="L423" s="1068" t="n"/>
      <c r="M423" s="1068" t="n"/>
      <c r="N423" s="1068" t="n"/>
      <c r="O423" s="1068" t="n"/>
    </row>
    <row r="424" outlineLevel="1" ht="15" customHeight="1">
      <c r="A424" s="307" t="inlineStr">
        <is>
          <t>x</t>
        </is>
      </c>
      <c r="B424" s="106" t="inlineStr">
        <is>
          <t>Blixt Returns</t>
        </is>
      </c>
      <c r="C424" s="106" t="n"/>
      <c r="D424" s="106" t="n"/>
      <c r="E424" s="107" t="n"/>
      <c r="F424" s="107" t="n"/>
      <c r="G424" s="107" t="n"/>
      <c r="H424" s="107" t="n"/>
      <c r="I424" s="107" t="n"/>
      <c r="J424" s="107" t="n"/>
      <c r="K424" s="107" t="n"/>
      <c r="L424" s="107" t="n"/>
      <c r="M424" s="107" t="n"/>
      <c r="N424" s="107" t="n"/>
      <c r="O424" s="107" t="n"/>
    </row>
    <row r="425" outlineLevel="1" ht="15" customHeight="1">
      <c r="A425" s="307" t="n"/>
      <c r="F425" s="9" t="n"/>
      <c r="I425" s="40" t="n"/>
      <c r="J425" s="40" t="n"/>
      <c r="K425" s="40" t="n"/>
      <c r="L425" s="40" t="n"/>
      <c r="M425" s="40" t="n"/>
      <c r="N425" s="1287" t="n"/>
    </row>
    <row r="426" outlineLevel="1" ht="15" customHeight="1">
      <c r="A426" s="307" t="n"/>
      <c r="B426" s="1288">
        <f>"Exit in "&amp;TEXT(L349,"yyy")</f>
        <v/>
      </c>
      <c r="C426" s="97" t="n"/>
      <c r="D426" s="1289" t="n"/>
      <c r="E426" s="1289" t="n"/>
      <c r="F426" s="9" t="n"/>
      <c r="G426" s="1288">
        <f>"Exit in "&amp;TEXT(M349,"yyy")</f>
        <v/>
      </c>
      <c r="H426" s="97" t="n"/>
      <c r="I426" s="1289" t="n"/>
      <c r="J426" s="1289" t="n"/>
      <c r="K426" s="40" t="n"/>
      <c r="L426" s="1288">
        <f>"Exit in "&amp;TEXT(N349,"yyy")</f>
        <v/>
      </c>
      <c r="M426" s="97" t="n"/>
      <c r="N426" s="1289" t="n"/>
      <c r="O426" s="1289" t="n"/>
    </row>
    <row r="427" outlineLevel="1" ht="15" customHeight="1">
      <c r="A427" s="307" t="n"/>
      <c r="B427" s="1290" t="n"/>
      <c r="C427" s="103" t="n"/>
      <c r="D427" s="1291" t="n"/>
      <c r="E427" s="1291" t="n"/>
      <c r="F427" s="9" t="n"/>
      <c r="G427" s="1290" t="n"/>
      <c r="H427" s="103" t="n"/>
      <c r="I427" s="1291" t="n"/>
      <c r="J427" s="1291" t="n"/>
      <c r="K427" s="40" t="n"/>
      <c r="L427" s="1290" t="n"/>
      <c r="M427" s="103" t="n"/>
      <c r="N427" s="1291" t="n"/>
      <c r="O427" s="1291" t="n"/>
    </row>
    <row r="428" outlineLevel="1" ht="15" customHeight="1">
      <c r="A428" s="307" t="n"/>
      <c r="B428" s="75" t="inlineStr">
        <is>
          <t>Exit</t>
        </is>
      </c>
      <c r="C428" s="99" t="inlineStr">
        <is>
          <t>CtC (x)</t>
        </is>
      </c>
      <c r="D428" s="1292">
        <f>"Gain "&amp;$L$14&amp;""</f>
        <v/>
      </c>
      <c r="E428" s="1292" t="inlineStr">
        <is>
          <t>IRR (%)</t>
        </is>
      </c>
      <c r="F428" s="9" t="n"/>
      <c r="G428" s="75" t="inlineStr">
        <is>
          <t>Exit</t>
        </is>
      </c>
      <c r="H428" s="99" t="inlineStr">
        <is>
          <t>CtC (x)</t>
        </is>
      </c>
      <c r="I428" s="1292">
        <f>"Gain "&amp;$L$14&amp;""</f>
        <v/>
      </c>
      <c r="J428" s="1292" t="inlineStr">
        <is>
          <t>IRR (%)</t>
        </is>
      </c>
      <c r="K428" s="40" t="n"/>
      <c r="L428" s="75" t="inlineStr">
        <is>
          <t>Exit</t>
        </is>
      </c>
      <c r="M428" s="99" t="inlineStr">
        <is>
          <t>CtC (x)</t>
        </is>
      </c>
      <c r="N428" s="1292">
        <f>"Gain "&amp;$L$14&amp;""</f>
        <v/>
      </c>
      <c r="O428" s="1292" t="inlineStr">
        <is>
          <t>IRR (%)</t>
        </is>
      </c>
    </row>
    <row r="429" outlineLevel="1" ht="15" customHeight="1">
      <c r="A429" s="307" t="n"/>
      <c r="B429" s="1293">
        <f>+$F$43</f>
        <v/>
      </c>
      <c r="C429" s="1294">
        <f>+L386</f>
        <v/>
      </c>
      <c r="D429" s="1295">
        <f>+L387</f>
        <v/>
      </c>
      <c r="E429" s="1296">
        <f>L388</f>
        <v/>
      </c>
      <c r="F429" s="9" t="n"/>
      <c r="G429" s="1293">
        <f>+$F$43</f>
        <v/>
      </c>
      <c r="H429" s="1294">
        <f>+M386</f>
        <v/>
      </c>
      <c r="I429" s="1295">
        <f>+M387</f>
        <v/>
      </c>
      <c r="J429" s="1296">
        <f>+M388</f>
        <v/>
      </c>
      <c r="K429" s="40" t="n"/>
      <c r="L429" s="1293">
        <f>+$F$43</f>
        <v/>
      </c>
      <c r="M429" s="1294">
        <f>+N386</f>
        <v/>
      </c>
      <c r="N429" s="1295">
        <f>+N387</f>
        <v/>
      </c>
      <c r="O429" s="1296">
        <f>+N388</f>
        <v/>
      </c>
      <c r="R429" s="1090" t="n"/>
      <c r="S429" s="1090" t="n"/>
      <c r="T429" s="1090" t="n"/>
      <c r="U429" s="1090" t="n"/>
    </row>
    <row r="430" outlineLevel="1" ht="15" customHeight="1">
      <c r="A430" s="307" t="n"/>
      <c r="B430" s="1297">
        <f>+B429+1</f>
        <v/>
      </c>
      <c r="C430" s="1298">
        <f t="dataTable" ref="C430:E435" dt2D="0" dtr="0" r1="F43" ca="1"/>
        <v/>
      </c>
      <c r="D430" s="1299" t="n">
        <v>13.00734407019843</v>
      </c>
      <c r="E430" s="1300" t="n">
        <v>0.398821951549593</v>
      </c>
      <c r="F430" s="9" t="n"/>
      <c r="G430" s="1297">
        <f>B430</f>
        <v/>
      </c>
      <c r="H430" s="1298">
        <f t="dataTable" ref="H430:J435" dt2D="0" dtr="0" r1="F43" ca="1"/>
        <v/>
      </c>
      <c r="I430" s="1299" t="n">
        <v>20.92567979870676</v>
      </c>
      <c r="J430" s="1300" t="n">
        <v>0.3866631447677833</v>
      </c>
      <c r="K430" s="40" t="n"/>
      <c r="L430" s="1297">
        <f>G430</f>
        <v/>
      </c>
      <c r="M430" s="1298">
        <f t="dataTable" ref="M430:O435" dt2D="0" dtr="0" r1="F43" ca="1"/>
        <v/>
      </c>
      <c r="N430" s="1299" t="n">
        <v>30.42502477353444</v>
      </c>
      <c r="O430" s="1300" t="n">
        <v>0.3679496336381582</v>
      </c>
      <c r="R430" s="105" t="n"/>
      <c r="S430" s="105" t="n"/>
      <c r="T430" s="105" t="n"/>
      <c r="U430" s="105" t="n"/>
    </row>
    <row r="431" outlineLevel="1" ht="15" customHeight="1">
      <c r="A431" s="307" t="n"/>
      <c r="B431" s="1297">
        <f>+B430+1</f>
        <v/>
      </c>
      <c r="C431" s="1298" t="n">
        <v>4.317155864916908</v>
      </c>
      <c r="D431" s="1299" t="n">
        <v>24.83904882605164</v>
      </c>
      <c r="E431" s="1300" t="n">
        <v>0.6282930761701844</v>
      </c>
      <c r="F431" s="9" t="n"/>
      <c r="G431" s="1297">
        <f>B431</f>
        <v/>
      </c>
      <c r="H431" s="1298" t="n">
        <v>5.699598209907506</v>
      </c>
      <c r="I431" s="1299" t="n">
        <v>36.45962088595834</v>
      </c>
      <c r="J431" s="1300" t="n">
        <v>0.5451158953465436</v>
      </c>
      <c r="K431" s="40" t="n"/>
      <c r="L431" s="1297">
        <f>G431</f>
        <v/>
      </c>
      <c r="M431" s="1298" t="n">
        <v>7.210439186896521</v>
      </c>
      <c r="N431" s="1299" t="n">
        <v>49.85343142024947</v>
      </c>
      <c r="O431" s="1300" t="n">
        <v>0.4845415033023619</v>
      </c>
      <c r="R431" s="22" t="n"/>
      <c r="S431" s="22" t="n"/>
      <c r="T431" s="22" t="n"/>
      <c r="U431" s="22" t="n"/>
    </row>
    <row r="432" outlineLevel="1" ht="15" customHeight="1">
      <c r="A432" s="307" t="n"/>
      <c r="B432" s="1297">
        <f>+B431+1</f>
        <v/>
      </c>
      <c r="C432" s="1298" t="n">
        <v>6.689185698387406</v>
      </c>
      <c r="D432" s="1299" t="n">
        <v>42.60094101615549</v>
      </c>
      <c r="E432" s="1300" t="n">
        <v>0.8841887981794747</v>
      </c>
      <c r="F432" s="9" t="n"/>
      <c r="G432" s="1297">
        <f>B432</f>
        <v/>
      </c>
      <c r="H432" s="1298" t="n">
        <v>8.706307930694612</v>
      </c>
      <c r="I432" s="1299" t="n">
        <v>59.78576317253078</v>
      </c>
      <c r="J432" s="1300" t="n">
        <v>0.7177442595785164</v>
      </c>
      <c r="K432" s="40" t="n"/>
      <c r="L432" s="1297">
        <f>G432</f>
        <v/>
      </c>
      <c r="M432" s="1298" t="n">
        <v>10.84570177461269</v>
      </c>
      <c r="N432" s="1299" t="n">
        <v>79.03499308720639</v>
      </c>
      <c r="O432" s="1300" t="n">
        <v>0.6108367594133197</v>
      </c>
    </row>
    <row r="433" outlineLevel="1" ht="15" customHeight="1">
      <c r="A433" s="307" t="n"/>
      <c r="B433" s="1297">
        <f>+B432+1</f>
        <v/>
      </c>
      <c r="C433" s="1298" t="n">
        <v>9.852158360110685</v>
      </c>
      <c r="D433" s="1299" t="n">
        <v>66.28545738481249</v>
      </c>
      <c r="E433" s="1300" t="n">
        <v>1.14376476202864</v>
      </c>
      <c r="F433" s="9" t="n"/>
      <c r="G433" s="1297">
        <f>B433</f>
        <v/>
      </c>
      <c r="H433" s="1298" t="n">
        <v>12.71571980204241</v>
      </c>
      <c r="I433" s="1299" t="n">
        <v>90.89089818105705</v>
      </c>
      <c r="J433" s="1300" t="n">
        <v>0.8883619344468465</v>
      </c>
      <c r="K433" s="40" t="n"/>
      <c r="L433" s="1297">
        <f>G433</f>
        <v/>
      </c>
      <c r="M433" s="1298" t="n">
        <v>15.69342721509422</v>
      </c>
      <c r="N433" s="1299" t="n">
        <v>117.9494306202491</v>
      </c>
      <c r="O433" s="1300" t="n">
        <v>0.734377215199947</v>
      </c>
    </row>
    <row r="434" outlineLevel="1" ht="15" customHeight="1">
      <c r="A434" s="307" t="n"/>
      <c r="B434" s="1297">
        <f>+B433+1</f>
        <v/>
      </c>
      <c r="C434" s="1298" t="n">
        <v>13.80594752605173</v>
      </c>
      <c r="D434" s="1299" t="n">
        <v>95.89165201057622</v>
      </c>
      <c r="E434" s="1300" t="n">
        <v>1.398954841494211</v>
      </c>
      <c r="F434" s="9" t="n"/>
      <c r="G434" s="1297">
        <f>B434</f>
        <v/>
      </c>
      <c r="H434" s="1298" t="n">
        <v>17.72761788929084</v>
      </c>
      <c r="I434" s="1299" t="n">
        <v>129.773350684105</v>
      </c>
      <c r="J434" s="1300" t="n">
        <v>1.051930257269445</v>
      </c>
      <c r="K434" s="40" t="n"/>
      <c r="L434" s="1297">
        <f>G434</f>
        <v/>
      </c>
      <c r="M434" s="1298" t="n">
        <v>21.7532915154509</v>
      </c>
      <c r="N434" s="1299" t="n">
        <v>166.594143211794</v>
      </c>
      <c r="O434" s="1300" t="n">
        <v>0.8514201921494982</v>
      </c>
    </row>
    <row r="435" outlineLevel="1" ht="15" customHeight="1">
      <c r="A435" s="307" t="n"/>
      <c r="B435" s="1297">
        <f>+B434+1</f>
        <v/>
      </c>
      <c r="C435" s="1298" t="n">
        <v>18.55052384518192</v>
      </c>
      <c r="D435" s="1299" t="n">
        <v>131.4193051113011</v>
      </c>
      <c r="E435" s="1300" t="n">
        <v>1.647191701318095</v>
      </c>
      <c r="F435" s="9" t="n"/>
      <c r="G435" s="1297">
        <f>B435</f>
        <v/>
      </c>
      <c r="H435" s="1298" t="n">
        <v>23.74194976604998</v>
      </c>
      <c r="I435" s="1299" t="n">
        <v>176.4327139562023</v>
      </c>
      <c r="J435" s="1300" t="n">
        <v>1.20739012538206</v>
      </c>
      <c r="K435" s="40" t="n"/>
      <c r="L435" s="1297">
        <f>G435</f>
        <v/>
      </c>
      <c r="M435" s="1298" t="n">
        <v>29.02521389093893</v>
      </c>
      <c r="N435" s="1299" t="n">
        <v>224.9684823736164</v>
      </c>
      <c r="O435" s="1300" t="n">
        <v>0.961349936612341</v>
      </c>
    </row>
    <row r="436" outlineLevel="1" ht="15" customHeight="1">
      <c r="A436" s="307" t="n"/>
      <c r="B436" s="40" t="n"/>
      <c r="C436" s="40" t="n"/>
      <c r="D436" s="1301" t="n"/>
      <c r="E436" s="1301" t="n"/>
      <c r="F436" s="9" t="n"/>
      <c r="K436" s="40" t="n"/>
      <c r="L436" s="40" t="n"/>
      <c r="M436" s="40" t="n"/>
      <c r="N436" s="1287" t="n"/>
    </row>
    <row r="437" outlineLevel="1" ht="15" customHeight="1">
      <c r="A437" s="307" t="n"/>
      <c r="B437" s="40" t="n"/>
      <c r="C437" s="40" t="n"/>
      <c r="D437" s="1301" t="n"/>
      <c r="E437" s="1301" t="n"/>
      <c r="F437" s="9" t="n"/>
      <c r="I437" s="40" t="n"/>
      <c r="J437" s="40" t="n"/>
      <c r="K437" s="40" t="n"/>
      <c r="L437" s="40" t="n"/>
      <c r="M437" s="40" t="n"/>
      <c r="N437" s="1287" t="n"/>
    </row>
    <row r="438" ht="15" customHeight="1">
      <c r="A438" s="307" t="inlineStr">
        <is>
          <t>x</t>
        </is>
      </c>
      <c r="B438" s="106">
        <f>"Value Creation ("&amp;L14&amp;")"</f>
        <v/>
      </c>
      <c r="C438" s="106" t="n"/>
      <c r="D438" s="106" t="n"/>
      <c r="E438" s="107" t="n"/>
      <c r="F438" s="107" t="n"/>
      <c r="G438" s="107" t="n"/>
      <c r="H438" s="107" t="n"/>
      <c r="I438" s="107" t="n"/>
      <c r="J438" s="107" t="n"/>
      <c r="K438" s="107" t="n"/>
      <c r="L438" s="107" t="n"/>
      <c r="M438" s="107" t="n"/>
      <c r="N438" s="107" t="n"/>
      <c r="O438" s="107" t="n"/>
    </row>
    <row r="439" ht="15" customHeight="1">
      <c r="A439" s="307" t="n"/>
      <c r="I439" s="22" t="n"/>
      <c r="J439" s="1068" t="n"/>
      <c r="K439" s="1068" t="n"/>
      <c r="L439" s="1068" t="n"/>
      <c r="M439" s="1068" t="n"/>
      <c r="N439" s="1068" t="n"/>
    </row>
    <row r="440" ht="15" customHeight="1">
      <c r="A440" s="307" t="n"/>
      <c r="B440" s="28">
        <f>"Capital Gain ("&amp;L14&amp;")"</f>
        <v/>
      </c>
      <c r="C440" s="28" t="n"/>
      <c r="D440" s="28" t="n"/>
      <c r="E440" s="28" t="n"/>
      <c r="F440" s="28" t="n"/>
      <c r="G440" s="28" t="n"/>
      <c r="H440" s="28" t="n"/>
      <c r="I440" s="1302">
        <f>H$157</f>
        <v/>
      </c>
      <c r="J440" s="1302">
        <f>J$157</f>
        <v/>
      </c>
      <c r="K440" s="1302">
        <f>K$157</f>
        <v/>
      </c>
      <c r="L440" s="1302">
        <f>L$157</f>
        <v/>
      </c>
      <c r="M440" s="1302">
        <f>M$157</f>
        <v/>
      </c>
      <c r="N440" s="1302">
        <f>N$157</f>
        <v/>
      </c>
      <c r="O440" s="684" t="n"/>
      <c r="Q440" s="152" t="n"/>
      <c r="V440" s="152" t="n"/>
      <c r="W440" s="152" t="n"/>
      <c r="X440" s="152" t="n"/>
    </row>
    <row r="441" ht="15" customHeight="1">
      <c r="A441" s="307" t="n"/>
      <c r="B441" s="9" t="inlineStr">
        <is>
          <t>Entry equity (incl. equity injections)</t>
        </is>
      </c>
      <c r="C441" s="9" t="n"/>
      <c r="D441" s="9" t="n"/>
      <c r="E441" s="9" t="n"/>
      <c r="F441" s="9" t="n"/>
      <c r="G441" s="9" t="n"/>
      <c r="H441" s="9" t="n"/>
      <c r="I441" s="1303">
        <f>+I373</f>
        <v/>
      </c>
      <c r="J441" s="1303">
        <f>+J373</f>
        <v/>
      </c>
      <c r="K441" s="1303">
        <f>+K373</f>
        <v/>
      </c>
      <c r="L441" s="1303">
        <f>+L373</f>
        <v/>
      </c>
      <c r="M441" s="1303">
        <f>+M373</f>
        <v/>
      </c>
      <c r="N441" s="1303">
        <f>+N373</f>
        <v/>
      </c>
      <c r="Q441" s="1304" t="n"/>
    </row>
    <row r="442" ht="15" customHeight="1">
      <c r="A442" s="307" t="n"/>
      <c r="B442" s="9" t="inlineStr">
        <is>
          <t>EBITDA growth</t>
        </is>
      </c>
      <c r="C442" s="9" t="n"/>
      <c r="E442" s="9" t="n"/>
      <c r="F442" s="9" t="n"/>
      <c r="G442" s="9" t="n"/>
      <c r="H442" s="9" t="n"/>
      <c r="I442" s="1305">
        <f>(I355-$G355)*$F$42</f>
        <v/>
      </c>
      <c r="J442" s="1305">
        <f>(J355-$G355)*$F$42</f>
        <v/>
      </c>
      <c r="K442" s="1305">
        <f>(K355-$G355)*$F$42</f>
        <v/>
      </c>
      <c r="L442" s="1305">
        <f>(L355-$G355)*$F$42</f>
        <v/>
      </c>
      <c r="M442" s="1305">
        <f>(M355-$G355)*$F$42</f>
        <v/>
      </c>
      <c r="N442" s="1305">
        <f>(N355-$G355)*$F$42</f>
        <v/>
      </c>
      <c r="Q442" s="1306" t="n"/>
      <c r="R442" s="1305" t="n"/>
    </row>
    <row r="443" ht="15" customHeight="1">
      <c r="A443" s="307" t="n"/>
      <c r="B443" s="41" t="inlineStr">
        <is>
          <t>o/w EBITDA margin expansion</t>
        </is>
      </c>
      <c r="C443" s="9" t="n"/>
      <c r="E443" s="9" t="n"/>
      <c r="F443" s="9" t="n"/>
      <c r="G443" s="9" t="n"/>
      <c r="H443" s="9" t="n"/>
      <c r="I443" s="1307">
        <f>IFERROR((I182-$H$182)*$H$162*$F$42,"NM")</f>
        <v/>
      </c>
      <c r="J443" s="1307">
        <f>IFERROR((J182-$H$182)*$H$162*$F$42,"NM")</f>
        <v/>
      </c>
      <c r="K443" s="1307">
        <f>IFERROR((K182-$H$182)*$H$162*$F$42,"NM")</f>
        <v/>
      </c>
      <c r="L443" s="1307">
        <f>IFERROR((L182-$H$182)*$H$162*$F$42,"NM")</f>
        <v/>
      </c>
      <c r="M443" s="1307">
        <f>IFERROR((M182-$H$182)*$H$162*$F$42,"NM")</f>
        <v/>
      </c>
      <c r="N443" s="1307">
        <f>IFERROR((N182-$H$182)*$H$162*$F$42,"NM")</f>
        <v/>
      </c>
      <c r="Q443" s="1306" t="n"/>
    </row>
    <row r="444" ht="15" customHeight="1">
      <c r="A444" s="307" t="n"/>
      <c r="B444" s="41" t="inlineStr">
        <is>
          <t>o/w revenue growth</t>
        </is>
      </c>
      <c r="C444" s="9" t="n"/>
      <c r="D444" s="41" t="n"/>
      <c r="E444" s="9" t="n"/>
      <c r="F444" s="9" t="n"/>
      <c r="G444" s="9" t="n"/>
      <c r="H444" s="9" t="n"/>
      <c r="I444" s="1307">
        <f>IFERROR((I162/I155-$H$162)*I182*$F$42,"NM")</f>
        <v/>
      </c>
      <c r="J444" s="1307">
        <f>IFERROR((J162-$H$162)*J182*$F$42,"NM")</f>
        <v/>
      </c>
      <c r="K444" s="1307">
        <f>IFERROR((K162-$H$162)*K182*$F$42,"NM")</f>
        <v/>
      </c>
      <c r="L444" s="1307">
        <f>IFERROR((L162-$H$162)*L182*$F$42,"NM")</f>
        <v/>
      </c>
      <c r="M444" s="1307">
        <f>IFERROR((M162-$H$162)*M182*$F$42,"NM")</f>
        <v/>
      </c>
      <c r="N444" s="1307">
        <f>IFERROR((N162-$H$162)*N182*$F$42,"NM")</f>
        <v/>
      </c>
      <c r="Q444" s="1306" t="n"/>
    </row>
    <row r="445" ht="15" customHeight="1">
      <c r="A445" s="307" t="n"/>
      <c r="B445" s="9" t="inlineStr">
        <is>
          <t>Multiple expansion</t>
        </is>
      </c>
      <c r="C445" s="9" t="n"/>
      <c r="E445" s="9" t="n"/>
      <c r="F445" s="9" t="n"/>
      <c r="G445" s="9" t="n"/>
      <c r="H445" s="9" t="n"/>
      <c r="I445" s="1305">
        <f>(I356-$F$42)*I355</f>
        <v/>
      </c>
      <c r="J445" s="1305">
        <f>(J356-$F$42)*J355</f>
        <v/>
      </c>
      <c r="K445" s="1305">
        <f>(K356-$F$42)*K355</f>
        <v/>
      </c>
      <c r="L445" s="1305">
        <f>(L356-$F$42)*L355</f>
        <v/>
      </c>
      <c r="M445" s="1305">
        <f>(M356-$F$42)*M355</f>
        <v/>
      </c>
      <c r="N445" s="1305">
        <f>(N356-$F$42)*N355</f>
        <v/>
      </c>
      <c r="Q445" s="1306" t="n"/>
    </row>
    <row r="446" ht="15" customHeight="1">
      <c r="A446" s="307" t="n"/>
      <c r="B446" s="9" t="inlineStr">
        <is>
          <t>Cash generation</t>
        </is>
      </c>
      <c r="C446" s="9" t="n"/>
      <c r="E446" s="9" t="n"/>
      <c r="F446" s="9" t="n"/>
      <c r="G446" s="9" t="n"/>
      <c r="H446" s="9" t="n"/>
      <c r="I446" s="1308">
        <f>(-$G$358+I358)-($G$360-I360-I359)-(I373-I370)</f>
        <v/>
      </c>
      <c r="J446" s="1308">
        <f>(-$G$358+J358)-($G$360-J360-J359)-(J373-J370)</f>
        <v/>
      </c>
      <c r="K446" s="1308">
        <f>(-$G$358+K358)-($G$360-K360-K359)-(K373-K370)</f>
        <v/>
      </c>
      <c r="L446" s="1308">
        <f>(-$G$358+L358)-($G$360-L360-L359)-(L373-L370)</f>
        <v/>
      </c>
      <c r="M446" s="1308">
        <f>(-$G$358+M358)-($G$360-M360-M359)-(M373-M370)</f>
        <v/>
      </c>
      <c r="N446" s="1308">
        <f>(-$G$358+N358)-($G$360-N360-N359)-(N373-N370)</f>
        <v/>
      </c>
      <c r="Q446" s="1309" t="n"/>
    </row>
    <row r="447" ht="15" customHeight="1">
      <c r="A447" s="307" t="n"/>
      <c r="B447" s="9" t="inlineStr">
        <is>
          <t>Transaction fees</t>
        </is>
      </c>
      <c r="C447" s="9" t="n"/>
      <c r="E447" s="9" t="n"/>
      <c r="F447" s="9" t="n"/>
      <c r="G447" s="9" t="n"/>
      <c r="H447" s="9" t="n"/>
      <c r="I447" s="1305">
        <f>-$L$85+I361</f>
        <v/>
      </c>
      <c r="J447" s="1305">
        <f>-$L$85+J361</f>
        <v/>
      </c>
      <c r="K447" s="1305">
        <f>-$L$85+K361</f>
        <v/>
      </c>
      <c r="L447" s="1305">
        <f>-$L$85+L361</f>
        <v/>
      </c>
      <c r="M447" s="1305">
        <f>-$L$85+M361</f>
        <v/>
      </c>
      <c r="N447" s="1305">
        <f>-$L$85+N361</f>
        <v/>
      </c>
      <c r="Q447" s="1306" t="n"/>
    </row>
    <row r="448" ht="15" customHeight="1">
      <c r="A448" s="307" t="n"/>
      <c r="B448" s="9" t="inlineStr">
        <is>
          <t>Total value created</t>
        </is>
      </c>
      <c r="D448" s="9" t="n"/>
      <c r="E448" s="9" t="n"/>
      <c r="F448" s="9" t="n"/>
      <c r="G448" s="9" t="n"/>
      <c r="H448" s="9" t="n"/>
      <c r="I448" s="1305">
        <f>SUM(I443:I447)</f>
        <v/>
      </c>
      <c r="J448" s="1305">
        <f>SUM(J443:J447)</f>
        <v/>
      </c>
      <c r="K448" s="1305">
        <f>SUM(K443:K447)</f>
        <v/>
      </c>
      <c r="L448" s="1305">
        <f>SUM(L443:L447)</f>
        <v/>
      </c>
      <c r="M448" s="1305">
        <f>SUM(M443:M447)</f>
        <v/>
      </c>
      <c r="N448" s="1305">
        <f>SUM(N443:N447)</f>
        <v/>
      </c>
      <c r="Q448" s="1306" t="n"/>
    </row>
    <row r="449" ht="15" customHeight="1">
      <c r="A449" s="307" t="n"/>
      <c r="B449" s="112" t="inlineStr">
        <is>
          <t>Total Equity Value</t>
        </is>
      </c>
      <c r="C449" s="112" t="n"/>
      <c r="D449" s="112" t="n"/>
      <c r="E449" s="112" t="n"/>
      <c r="F449" s="112" t="n"/>
      <c r="G449" s="112" t="n"/>
      <c r="H449" s="112" t="n"/>
      <c r="I449" s="1310">
        <f>I441+I448</f>
        <v/>
      </c>
      <c r="J449" s="1310">
        <f>J441+J448</f>
        <v/>
      </c>
      <c r="K449" s="1310">
        <f>K441+K448</f>
        <v/>
      </c>
      <c r="L449" s="1310">
        <f>L441+L448</f>
        <v/>
      </c>
      <c r="M449" s="1310">
        <f>M441+M448</f>
        <v/>
      </c>
      <c r="N449" s="1310">
        <f>N441+N448</f>
        <v/>
      </c>
      <c r="Q449" s="1311" t="n"/>
    </row>
    <row r="450" ht="15" customHeight="1">
      <c r="A450" s="307" t="n"/>
      <c r="B450" s="609" t="inlineStr">
        <is>
          <t>check</t>
        </is>
      </c>
      <c r="C450" s="1136">
        <f>COUNTIF(I450:N450,"&lt;&gt;0")</f>
        <v/>
      </c>
      <c r="D450" s="9" t="n"/>
      <c r="E450" s="9" t="n"/>
      <c r="F450" s="9" t="n"/>
      <c r="G450" s="9" t="n"/>
      <c r="H450" s="9" t="n"/>
      <c r="I450" s="1312">
        <f>ROUND(I449-I374,3)</f>
        <v/>
      </c>
      <c r="J450" s="1312">
        <f>ROUND(J449-J374,3)</f>
        <v/>
      </c>
      <c r="K450" s="1312">
        <f>ROUND(K449-K374,3)</f>
        <v/>
      </c>
      <c r="L450" s="1312">
        <f>ROUND(L449-L374,3)</f>
        <v/>
      </c>
      <c r="M450" s="1312">
        <f>ROUND(M449-M374,3)</f>
        <v/>
      </c>
      <c r="N450" s="1312">
        <f>ROUND(N449-N374,3)</f>
        <v/>
      </c>
      <c r="Q450" s="1304" t="n"/>
    </row>
    <row r="451" ht="15" customHeight="1">
      <c r="A451" s="307" t="n"/>
      <c r="I451" s="1308" t="n"/>
      <c r="J451" s="1313" t="n"/>
      <c r="K451" s="1313" t="n"/>
      <c r="L451" s="1313" t="n"/>
      <c r="M451" s="1313" t="n"/>
      <c r="N451" s="1313" t="n"/>
    </row>
    <row r="452" outlineLevel="1" ht="15" customHeight="1">
      <c r="A452" s="307" t="n"/>
      <c r="B452" s="28" t="inlineStr">
        <is>
          <t>CtC (x)</t>
        </is>
      </c>
      <c r="C452" s="28" t="n"/>
      <c r="D452" s="28" t="n"/>
      <c r="E452" s="28" t="n"/>
      <c r="F452" s="28" t="n"/>
      <c r="G452" s="28" t="n"/>
      <c r="H452" s="28" t="n"/>
      <c r="I452" s="1302">
        <f>H$157</f>
        <v/>
      </c>
      <c r="J452" s="1302">
        <f>J$157</f>
        <v/>
      </c>
      <c r="K452" s="1302">
        <f>K$157</f>
        <v/>
      </c>
      <c r="L452" s="1302">
        <f>L$157</f>
        <v/>
      </c>
      <c r="M452" s="1302">
        <f>M$157</f>
        <v/>
      </c>
      <c r="N452" s="1302">
        <f>N$157</f>
        <v/>
      </c>
      <c r="O452" s="684" t="n"/>
    </row>
    <row r="453" outlineLevel="1" ht="15" customHeight="1">
      <c r="A453" s="307" t="n"/>
      <c r="B453" s="9" t="inlineStr">
        <is>
          <t>Entry equity (incl. equity injections)</t>
        </is>
      </c>
      <c r="C453" s="9" t="n"/>
      <c r="D453" s="9" t="n"/>
      <c r="E453" s="9" t="n"/>
      <c r="F453" s="9" t="n"/>
      <c r="G453" s="9" t="n"/>
      <c r="H453" s="9" t="n"/>
      <c r="I453" s="1314">
        <f>+I464/I$464</f>
        <v/>
      </c>
      <c r="J453" s="1314">
        <f>+J464/J$464</f>
        <v/>
      </c>
      <c r="K453" s="1314">
        <f>+K464/K$464</f>
        <v/>
      </c>
      <c r="L453" s="1314">
        <f>+L464/L$464</f>
        <v/>
      </c>
      <c r="M453" s="1314">
        <f>+M464/M$464</f>
        <v/>
      </c>
      <c r="N453" s="1314">
        <f>+N464/N$464</f>
        <v/>
      </c>
    </row>
    <row r="454" outlineLevel="1" ht="15" customHeight="1">
      <c r="A454" s="307" t="n"/>
      <c r="B454" s="9">
        <f>B442</f>
        <v/>
      </c>
      <c r="C454" s="9" t="n"/>
      <c r="E454" s="9" t="n"/>
      <c r="F454" s="9" t="n"/>
      <c r="G454" s="9" t="n"/>
      <c r="H454" s="9" t="n"/>
      <c r="I454" s="1314">
        <f>+I442/I$464</f>
        <v/>
      </c>
      <c r="J454" s="1314">
        <f>+J442/J$464</f>
        <v/>
      </c>
      <c r="K454" s="1314">
        <f>+K442/K$464</f>
        <v/>
      </c>
      <c r="L454" s="1314">
        <f>+L442/L$464</f>
        <v/>
      </c>
      <c r="M454" s="1314">
        <f>+M442/M$464</f>
        <v/>
      </c>
      <c r="N454" s="1314">
        <f>+N442/N$464</f>
        <v/>
      </c>
    </row>
    <row r="455" outlineLevel="1" ht="15" customHeight="1">
      <c r="A455" s="307" t="n"/>
      <c r="B455" s="41" t="inlineStr">
        <is>
          <t>o/w EBITDA margin expansion</t>
        </is>
      </c>
      <c r="C455" s="9" t="n"/>
      <c r="E455" s="9" t="n"/>
      <c r="F455" s="9" t="n"/>
      <c r="G455" s="9" t="n"/>
      <c r="H455" s="9" t="n"/>
      <c r="I455" s="1315">
        <f>+IFERROR(I443/I$464,"NM")</f>
        <v/>
      </c>
      <c r="J455" s="1315">
        <f>+IFERROR(J443/J$464,"NM")</f>
        <v/>
      </c>
      <c r="K455" s="1315">
        <f>+IFERROR(K443/K$464,"NM")</f>
        <v/>
      </c>
      <c r="L455" s="1315">
        <f>+IFERROR(L443/L$464,"NM")</f>
        <v/>
      </c>
      <c r="M455" s="1315">
        <f>+IFERROR(M443/M$464,"NM")</f>
        <v/>
      </c>
      <c r="N455" s="1315">
        <f>+IFERROR(N443/N$464,"NM")</f>
        <v/>
      </c>
    </row>
    <row r="456" outlineLevel="1" ht="15" customHeight="1">
      <c r="A456" s="307" t="n"/>
      <c r="B456" s="41" t="inlineStr">
        <is>
          <t>o/w revenue growth</t>
        </is>
      </c>
      <c r="C456" s="9" t="n"/>
      <c r="E456" s="9" t="n"/>
      <c r="F456" s="9" t="n"/>
      <c r="G456" s="9" t="n"/>
      <c r="H456" s="9" t="n"/>
      <c r="I456" s="1315">
        <f>IFERROR(I444/I$464,"NM")</f>
        <v/>
      </c>
      <c r="J456" s="1315">
        <f>IFERROR(J444/J$464,"NM")</f>
        <v/>
      </c>
      <c r="K456" s="1315">
        <f>IFERROR(K444/K$464,"NM")</f>
        <v/>
      </c>
      <c r="L456" s="1315">
        <f>IFERROR(L444/L$464,"NM")</f>
        <v/>
      </c>
      <c r="M456" s="1315">
        <f>IFERROR(M444/M$464,"NM")</f>
        <v/>
      </c>
      <c r="N456" s="1315">
        <f>IFERROR(N444/N$464,"NM")</f>
        <v/>
      </c>
    </row>
    <row r="457" outlineLevel="1" ht="15" customHeight="1">
      <c r="A457" s="307" t="n"/>
      <c r="B457" s="9">
        <f>B445</f>
        <v/>
      </c>
      <c r="C457" s="9" t="n"/>
      <c r="E457" s="9" t="n"/>
      <c r="F457" s="9" t="n"/>
      <c r="G457" s="9" t="n"/>
      <c r="H457" s="9" t="n"/>
      <c r="I457" s="1314">
        <f>+I445/I$464</f>
        <v/>
      </c>
      <c r="J457" s="1314">
        <f>+J445/J$464</f>
        <v/>
      </c>
      <c r="K457" s="1314">
        <f>+K445/K$464</f>
        <v/>
      </c>
      <c r="L457" s="1314">
        <f>+L445/L$464</f>
        <v/>
      </c>
      <c r="M457" s="1314">
        <f>+M445/M$464</f>
        <v/>
      </c>
      <c r="N457" s="1314">
        <f>+N445/N$464</f>
        <v/>
      </c>
    </row>
    <row r="458" outlineLevel="1" ht="15" customHeight="1">
      <c r="A458" s="307" t="n"/>
      <c r="B458" s="9">
        <f>B446</f>
        <v/>
      </c>
      <c r="C458" s="9" t="n"/>
      <c r="E458" s="9" t="n"/>
      <c r="F458" s="9" t="n"/>
      <c r="G458" s="9" t="n"/>
      <c r="H458" s="9" t="n"/>
      <c r="I458" s="1314">
        <f>+I446/I$464</f>
        <v/>
      </c>
      <c r="J458" s="1314">
        <f>+J446/J$464</f>
        <v/>
      </c>
      <c r="K458" s="1314">
        <f>+K446/K$464</f>
        <v/>
      </c>
      <c r="L458" s="1314">
        <f>+L446/L$464</f>
        <v/>
      </c>
      <c r="M458" s="1314">
        <f>+M446/M$464</f>
        <v/>
      </c>
      <c r="N458" s="1314">
        <f>+N446/N$464</f>
        <v/>
      </c>
    </row>
    <row r="459" outlineLevel="1" ht="15" customHeight="1">
      <c r="A459" s="307" t="n"/>
      <c r="B459" s="9">
        <f>B447</f>
        <v/>
      </c>
      <c r="C459" s="9" t="n"/>
      <c r="E459" s="9" t="n"/>
      <c r="F459" s="9" t="n"/>
      <c r="G459" s="9" t="n"/>
      <c r="H459" s="9" t="n"/>
      <c r="I459" s="1314">
        <f>+I447/I$464</f>
        <v/>
      </c>
      <c r="J459" s="1314">
        <f>+J447/J$464</f>
        <v/>
      </c>
      <c r="K459" s="1314">
        <f>+K447/K$464</f>
        <v/>
      </c>
      <c r="L459" s="1314">
        <f>+L447/L$464</f>
        <v/>
      </c>
      <c r="M459" s="1314">
        <f>+M447/M$464</f>
        <v/>
      </c>
      <c r="N459" s="1314">
        <f>+N447/N$464</f>
        <v/>
      </c>
    </row>
    <row r="460" outlineLevel="1" ht="15" customHeight="1">
      <c r="A460" s="307" t="n"/>
      <c r="B460" s="9">
        <f>B448</f>
        <v/>
      </c>
      <c r="D460" s="9" t="n"/>
      <c r="E460" s="9" t="n"/>
      <c r="F460" s="9" t="n"/>
      <c r="G460" s="9" t="n"/>
      <c r="H460" s="9" t="n"/>
      <c r="I460" s="1316">
        <f>SUM(I455:I459)</f>
        <v/>
      </c>
      <c r="J460" s="1316">
        <f>SUM(J455:J459)</f>
        <v/>
      </c>
      <c r="K460" s="1316">
        <f>SUM(K455:K459)</f>
        <v/>
      </c>
      <c r="L460" s="1316">
        <f>SUM(L455:L459)</f>
        <v/>
      </c>
      <c r="M460" s="1316">
        <f>SUM(M455:M459)</f>
        <v/>
      </c>
      <c r="N460" s="1316">
        <f>SUM(N455:N459)</f>
        <v/>
      </c>
    </row>
    <row r="461" outlineLevel="1" ht="15" customHeight="1">
      <c r="A461" s="307" t="n"/>
      <c r="B461" s="112">
        <f>B449</f>
        <v/>
      </c>
      <c r="C461" s="112" t="n"/>
      <c r="D461" s="112" t="n"/>
      <c r="E461" s="112" t="n"/>
      <c r="F461" s="112" t="n"/>
      <c r="G461" s="112" t="n"/>
      <c r="H461" s="112" t="n"/>
      <c r="I461" s="1317">
        <f>I453+I460</f>
        <v/>
      </c>
      <c r="J461" s="1317">
        <f>J453+J460</f>
        <v/>
      </c>
      <c r="K461" s="1317">
        <f>K453+K460</f>
        <v/>
      </c>
      <c r="L461" s="1317">
        <f>L453+L460</f>
        <v/>
      </c>
      <c r="M461" s="1317">
        <f>M453+M460</f>
        <v/>
      </c>
      <c r="N461" s="1317">
        <f>N453+N460</f>
        <v/>
      </c>
      <c r="P461" s="647" t="inlineStr">
        <is>
          <t>Tweak for when cash on B/S; check apportionment</t>
        </is>
      </c>
    </row>
    <row r="462" outlineLevel="1" ht="15" customHeight="1">
      <c r="A462" s="307" t="n"/>
      <c r="B462" s="622">
        <f>B450</f>
        <v/>
      </c>
      <c r="C462" s="1136">
        <f>COUNTIF(I462:N462,"&gt;"&amp;10^-6)</f>
        <v/>
      </c>
      <c r="D462" s="623" t="n"/>
      <c r="E462" s="623" t="n"/>
      <c r="F462" s="623" t="n"/>
      <c r="G462" s="623" t="n"/>
      <c r="H462" s="623" t="n"/>
      <c r="I462" s="1318">
        <f>ABS(+I461-I375)</f>
        <v/>
      </c>
      <c r="J462" s="1318">
        <f>ABS(+J461-J375)</f>
        <v/>
      </c>
      <c r="K462" s="1318">
        <f>ABS(+K461-K375)</f>
        <v/>
      </c>
      <c r="L462" s="1318">
        <f>ABS(+L461-L375)</f>
        <v/>
      </c>
      <c r="M462" s="1318">
        <f>ABS(+M461-M375)</f>
        <v/>
      </c>
      <c r="N462" s="1318">
        <f>ABS(+N461-N375)</f>
        <v/>
      </c>
    </row>
    <row r="463" outlineLevel="1" ht="15" customHeight="1">
      <c r="A463" s="307" t="n"/>
      <c r="B463" s="622" t="n"/>
      <c r="C463" s="1136" t="n"/>
      <c r="D463" s="623" t="n"/>
      <c r="E463" s="623" t="n"/>
      <c r="F463" s="623" t="n"/>
      <c r="G463" s="623" t="n"/>
      <c r="H463" s="623" t="n"/>
      <c r="I463" s="1318" t="n"/>
      <c r="J463" s="1318" t="n"/>
      <c r="K463" s="1318" t="n"/>
      <c r="L463" s="1318" t="n"/>
      <c r="M463" s="1318" t="n"/>
      <c r="N463" s="1318" t="n"/>
    </row>
    <row r="464" outlineLevel="1" ht="15" customHeight="1">
      <c r="A464" s="307" t="n"/>
      <c r="B464" s="9" t="inlineStr">
        <is>
          <t>Entry equity (incl. equity injections)</t>
        </is>
      </c>
      <c r="C464" s="9" t="n"/>
      <c r="D464" s="9" t="n"/>
      <c r="E464" s="9" t="n"/>
      <c r="F464" s="9" t="n"/>
      <c r="G464" s="9" t="n"/>
      <c r="H464" s="9" t="n"/>
      <c r="I464" s="1308">
        <f>+I373</f>
        <v/>
      </c>
      <c r="J464" s="1308">
        <f>+J373</f>
        <v/>
      </c>
      <c r="K464" s="1308">
        <f>+K373</f>
        <v/>
      </c>
      <c r="L464" s="1308">
        <f>+L373</f>
        <v/>
      </c>
      <c r="M464" s="1308">
        <f>+M373</f>
        <v/>
      </c>
      <c r="N464" s="1308">
        <f>+N373</f>
        <v/>
      </c>
    </row>
    <row r="465" outlineLevel="1" ht="15" customHeight="1">
      <c r="A465" s="307" t="n"/>
      <c r="J465" s="1319" t="n"/>
      <c r="K465" s="1319" t="n"/>
      <c r="L465" s="1319" t="n"/>
      <c r="M465" s="1319" t="n"/>
      <c r="N465" s="1319" t="n"/>
      <c r="O465" s="1319" t="n"/>
    </row>
    <row r="466" ht="15" customHeight="1">
      <c r="A466" s="307" t="n"/>
      <c r="B466" s="28" t="inlineStr">
        <is>
          <t>Value Creation Output</t>
        </is>
      </c>
      <c r="C466" s="28" t="n"/>
      <c r="D466" s="28" t="n"/>
      <c r="E466" s="28" t="n"/>
      <c r="F466" s="28" t="n"/>
      <c r="G466" s="28" t="n"/>
      <c r="H466" s="28" t="n"/>
      <c r="I466" s="28" t="n"/>
      <c r="J466" s="1302" t="n"/>
      <c r="K466" s="1302" t="n"/>
      <c r="L466" s="1302" t="n"/>
      <c r="M466" s="1302" t="n"/>
      <c r="N466" s="1302" t="n"/>
      <c r="O466" s="1302" t="n"/>
    </row>
    <row r="467" ht="15" customHeight="1">
      <c r="A467" s="307" t="n"/>
    </row>
    <row r="468" ht="15" customHeight="1">
      <c r="A468" s="307" t="n"/>
      <c r="B468" s="40" t="inlineStr">
        <is>
          <t>Choose Year</t>
        </is>
      </c>
      <c r="D468" s="9" t="n"/>
      <c r="E468" s="1320" t="n">
        <v>47483</v>
      </c>
    </row>
    <row r="469" outlineLevel="1" ht="15" customHeight="1">
      <c r="A469" s="307" t="n"/>
      <c r="B469" s="9" t="n"/>
      <c r="D469" s="9" t="n"/>
      <c r="E469" s="9" t="n"/>
      <c r="U469" s="1068" t="n"/>
    </row>
    <row r="470" outlineLevel="1" ht="15" customHeight="1">
      <c r="A470" s="461" t="n">
        <v>2</v>
      </c>
      <c r="B470" s="9">
        <f>+B441</f>
        <v/>
      </c>
      <c r="D470" s="9" t="n"/>
      <c r="E470" s="1303">
        <f>HLOOKUP($E$468,$B$440:$N$449,LBO!A470,0)</f>
        <v/>
      </c>
      <c r="U470" s="1078" t="n"/>
      <c r="V470" s="1078" t="n"/>
    </row>
    <row r="471" outlineLevel="1" ht="15" customHeight="1">
      <c r="A471" s="461" t="n">
        <v>4</v>
      </c>
      <c r="B471" s="9" t="inlineStr">
        <is>
          <t>EBITDA margin expansion</t>
        </is>
      </c>
      <c r="D471" s="9" t="n"/>
      <c r="E471" s="1305">
        <f>HLOOKUP($E$468,LBO!$B$440:$N$449,LBO!A471,0)</f>
        <v/>
      </c>
      <c r="U471" s="1078" t="n"/>
      <c r="V471" s="1078" t="n"/>
    </row>
    <row r="472" outlineLevel="1" ht="15" customHeight="1">
      <c r="A472" s="461">
        <f>+A471+1</f>
        <v/>
      </c>
      <c r="B472" s="9" t="inlineStr">
        <is>
          <t>Revenue growth</t>
        </is>
      </c>
      <c r="E472" s="1305">
        <f>HLOOKUP($E$468,LBO!$B$440:$N$449,LBO!A472,0)</f>
        <v/>
      </c>
      <c r="U472" s="1078" t="n"/>
      <c r="V472" s="1078" t="n"/>
    </row>
    <row r="473" outlineLevel="1" ht="15" customHeight="1">
      <c r="A473" s="461">
        <f>+A472+1</f>
        <v/>
      </c>
      <c r="B473" s="9">
        <f>+B445</f>
        <v/>
      </c>
      <c r="D473" s="9" t="n"/>
      <c r="E473" s="1305">
        <f>HLOOKUP($E$468,LBO!$B$440:$N$449,LBO!A473,0)</f>
        <v/>
      </c>
    </row>
    <row r="474" outlineLevel="1" ht="15" customHeight="1">
      <c r="A474" s="461">
        <f>+A473+1</f>
        <v/>
      </c>
      <c r="B474" s="9">
        <f>+B446</f>
        <v/>
      </c>
      <c r="D474" s="9" t="n"/>
      <c r="E474" s="1305">
        <f>HLOOKUP($E$468,LBO!$B$440:$N$449,LBO!A474,0)</f>
        <v/>
      </c>
      <c r="U474" s="1078" t="n"/>
    </row>
    <row r="475" outlineLevel="1" ht="15" customHeight="1">
      <c r="A475" s="461">
        <f>+A474+1</f>
        <v/>
      </c>
      <c r="B475" s="9">
        <f>+B447</f>
        <v/>
      </c>
      <c r="D475" s="9" t="n"/>
      <c r="E475" s="1305">
        <f>HLOOKUP($E$468,LBO!$B$440:$N$449,LBO!A475,0)</f>
        <v/>
      </c>
      <c r="S475" s="1078" t="n"/>
      <c r="T475" s="1078" t="n"/>
      <c r="U475" s="1068" t="n"/>
      <c r="V475" s="1068" t="n"/>
    </row>
    <row r="476" outlineLevel="1" ht="15" customHeight="1">
      <c r="A476" s="461">
        <f>+A475+1</f>
        <v/>
      </c>
      <c r="B476" s="42">
        <f>+B448</f>
        <v/>
      </c>
      <c r="C476" s="5" t="n"/>
      <c r="D476" s="42" t="n"/>
      <c r="E476" s="1321">
        <f>HLOOKUP($E$468,LBO!$B$440:$N$449,LBO!A476,0)</f>
        <v/>
      </c>
      <c r="U476" s="1078" t="n"/>
      <c r="V476" s="1078" t="n"/>
    </row>
    <row r="477" outlineLevel="1" ht="15" customHeight="1">
      <c r="A477" s="461">
        <f>+A476+1</f>
        <v/>
      </c>
      <c r="B477" s="40">
        <f>+B449</f>
        <v/>
      </c>
      <c r="D477" s="9" t="n"/>
      <c r="E477" s="1322">
        <f>HLOOKUP($E$468,LBO!$B$440:$N$449,LBO!A477,0)</f>
        <v/>
      </c>
      <c r="U477" s="1078" t="n"/>
      <c r="V477" s="1078" t="n"/>
    </row>
    <row r="478" outlineLevel="1" ht="15" customHeight="1">
      <c r="A478" s="307" t="n"/>
      <c r="B478" s="9" t="n"/>
      <c r="D478" s="9" t="n"/>
      <c r="E478" s="9" t="n"/>
    </row>
    <row r="479" outlineLevel="1" ht="15" customHeight="1">
      <c r="A479" s="307" t="n"/>
      <c r="B479" s="9">
        <f>+B470</f>
        <v/>
      </c>
      <c r="D479" s="1305" t="n">
        <v>0</v>
      </c>
      <c r="E479" s="1305">
        <f>IF(E470&lt;0,-E470,E470)</f>
        <v/>
      </c>
      <c r="F479" s="1305">
        <f>+D479+E479</f>
        <v/>
      </c>
      <c r="U479" s="23" t="n"/>
      <c r="V479" s="23" t="n"/>
    </row>
    <row r="480" outlineLevel="1" ht="15" customHeight="1">
      <c r="A480" s="307" t="n"/>
      <c r="B480" s="9">
        <f>+B471</f>
        <v/>
      </c>
      <c r="D480" s="1305">
        <f>F479+IF(E470&lt;0,E470,0)+IF(E471&lt;0,E471,0)</f>
        <v/>
      </c>
      <c r="E480" s="1305">
        <f>IF(E471&lt;0,-E471,E471)</f>
        <v/>
      </c>
      <c r="F480" s="1305">
        <f>+D480+E480</f>
        <v/>
      </c>
    </row>
    <row r="481" outlineLevel="1" ht="15" customHeight="1">
      <c r="A481" s="307" t="n"/>
      <c r="B481" s="9">
        <f>+B472</f>
        <v/>
      </c>
      <c r="D481" s="1305">
        <f>F480+IF(E471&lt;0,E471,0)+IF(E472&lt;0,E472,0)</f>
        <v/>
      </c>
      <c r="E481" s="1305">
        <f>IF(E472&lt;0,-E472,E472)</f>
        <v/>
      </c>
      <c r="F481" s="1305">
        <f>+D481+E481</f>
        <v/>
      </c>
    </row>
    <row r="482" outlineLevel="1" ht="15" customHeight="1">
      <c r="A482" s="307" t="n"/>
      <c r="B482" s="9">
        <f>+B473</f>
        <v/>
      </c>
      <c r="D482" s="1305">
        <f>F481+IF(E472&lt;0,E472,0)+IF(E473&lt;0,E473,0)</f>
        <v/>
      </c>
      <c r="E482" s="1305">
        <f>IF(E473&lt;0,-E473,E473)</f>
        <v/>
      </c>
      <c r="F482" s="1305">
        <f>+D482+E482</f>
        <v/>
      </c>
    </row>
    <row r="483" outlineLevel="1" ht="15" customHeight="1">
      <c r="A483" s="307" t="n"/>
      <c r="B483" s="9">
        <f>+B474</f>
        <v/>
      </c>
      <c r="D483" s="1305">
        <f>F482+IF(E473&lt;0,E473,0)+IF(E474&lt;0,E474,0)</f>
        <v/>
      </c>
      <c r="E483" s="1305">
        <f>IF(E474&lt;0,-E474,E474)</f>
        <v/>
      </c>
      <c r="F483" s="1305">
        <f>+D483+E483</f>
        <v/>
      </c>
    </row>
    <row r="484" outlineLevel="1" ht="15" customHeight="1">
      <c r="A484" s="307" t="n"/>
      <c r="B484" s="42">
        <f>+B475</f>
        <v/>
      </c>
      <c r="C484" s="5" t="n"/>
      <c r="D484" s="1321">
        <f>F483+IF(E474&lt;0,E474,0)+IF(E475&lt;0,E475,0)</f>
        <v/>
      </c>
      <c r="E484" s="1321">
        <f>IF(E475&lt;0,-E475,E475)</f>
        <v/>
      </c>
      <c r="F484" s="1321">
        <f>+D484+E484</f>
        <v/>
      </c>
    </row>
    <row r="485" outlineLevel="1" ht="15" customHeight="1">
      <c r="A485" s="307" t="n"/>
      <c r="B485" s="9" t="inlineStr">
        <is>
          <t>Total Equity on Exit</t>
        </is>
      </c>
      <c r="D485" s="1305" t="n">
        <v>0</v>
      </c>
      <c r="E485" s="1305">
        <f>IF(E475&gt;0,D484+E484,D484)</f>
        <v/>
      </c>
      <c r="F485" s="1305">
        <f>+D485+E485</f>
        <v/>
      </c>
    </row>
    <row r="486" ht="15" customHeight="1">
      <c r="A486" s="307" t="n"/>
    </row>
    <row r="487" ht="15" customHeight="1">
      <c r="A487" s="461" t="n">
        <v>2</v>
      </c>
      <c r="B487" s="9" t="inlineStr">
        <is>
          <t>MOIC (incl. equity injections)</t>
        </is>
      </c>
      <c r="D487" s="9" t="n"/>
      <c r="E487" s="1303">
        <f>HLOOKUP($E$468,$B$452:$N$461,LBO!A487,0)</f>
        <v/>
      </c>
    </row>
    <row r="488" ht="15" customHeight="1">
      <c r="A488" s="461" t="n">
        <v>4</v>
      </c>
      <c r="B488" s="9">
        <f>+B471</f>
        <v/>
      </c>
      <c r="D488" s="9" t="n"/>
      <c r="E488" s="1305">
        <f>HLOOKUP($E$468,LBO!$B$452:$N$461,LBO!A488,0)</f>
        <v/>
      </c>
    </row>
    <row r="489" ht="15" customHeight="1">
      <c r="A489" s="461">
        <f>+A488+1</f>
        <v/>
      </c>
      <c r="B489" s="9">
        <f>+B472</f>
        <v/>
      </c>
      <c r="E489" s="1305">
        <f>HLOOKUP($E$468,LBO!$B$452:$N$461,LBO!A489,0)</f>
        <v/>
      </c>
    </row>
    <row r="490" ht="15" customHeight="1">
      <c r="A490" s="461">
        <f>+A489+1</f>
        <v/>
      </c>
      <c r="B490" s="9">
        <f>+B473</f>
        <v/>
      </c>
      <c r="D490" s="9" t="n"/>
      <c r="E490" s="1305">
        <f>HLOOKUP($E$468,LBO!$B$452:$N$461,LBO!A490,0)</f>
        <v/>
      </c>
    </row>
    <row r="491" ht="15" customHeight="1">
      <c r="A491" s="461">
        <f>+A490+1</f>
        <v/>
      </c>
      <c r="B491" s="9">
        <f>+B474</f>
        <v/>
      </c>
      <c r="D491" s="9" t="n"/>
      <c r="E491" s="1305">
        <f>HLOOKUP($E$468,LBO!$B$452:$N$461,LBO!A491,0)</f>
        <v/>
      </c>
    </row>
    <row r="492" ht="15" customHeight="1">
      <c r="A492" s="461">
        <f>+A491+1</f>
        <v/>
      </c>
      <c r="B492" s="9">
        <f>+B475</f>
        <v/>
      </c>
      <c r="D492" s="9" t="n"/>
      <c r="E492" s="1305">
        <f>HLOOKUP($E$468,LBO!$B$452:$N$461,LBO!A492,0)</f>
        <v/>
      </c>
    </row>
    <row r="493" ht="15" customHeight="1">
      <c r="A493" s="461">
        <f>+A492+1</f>
        <v/>
      </c>
      <c r="B493" s="42">
        <f>+B476</f>
        <v/>
      </c>
      <c r="C493" s="5" t="n"/>
      <c r="D493" s="42" t="n"/>
      <c r="E493" s="1321">
        <f>HLOOKUP($E$468,LBO!$B$452:$N$461,LBO!A493,0)</f>
        <v/>
      </c>
    </row>
    <row r="494" ht="15" customHeight="1">
      <c r="A494" s="461">
        <f>+A493+1</f>
        <v/>
      </c>
      <c r="B494" s="40" t="inlineStr">
        <is>
          <t>MOIC (incl. equity injections)</t>
        </is>
      </c>
      <c r="D494" s="9" t="n"/>
      <c r="E494" s="1322">
        <f>HLOOKUP($E$468,LBO!$B$452:$N$461,LBO!A494,0)</f>
        <v/>
      </c>
    </row>
    <row r="495" ht="15" customHeight="1">
      <c r="A495" s="307" t="n"/>
      <c r="B495" s="9" t="n"/>
      <c r="D495" s="9" t="n"/>
      <c r="E495" s="9" t="n"/>
    </row>
    <row r="496" ht="15" customHeight="1">
      <c r="A496" s="307" t="n"/>
      <c r="B496" s="9">
        <f>+B487</f>
        <v/>
      </c>
      <c r="D496" s="1323" t="n">
        <v>0</v>
      </c>
      <c r="E496" s="1323">
        <f>IF(E487&lt;0,-E487,E487)</f>
        <v/>
      </c>
      <c r="F496" s="1323">
        <f>+D496+E496</f>
        <v/>
      </c>
    </row>
    <row r="497" ht="15" customHeight="1">
      <c r="A497" s="307" t="n"/>
      <c r="B497" s="9">
        <f>+B488</f>
        <v/>
      </c>
      <c r="D497" s="1323">
        <f>F496+IF(E487&lt;0,E487,0)+IF(E488&lt;0,E488,0)</f>
        <v/>
      </c>
      <c r="E497" s="1323">
        <f>IF(E488&lt;0,-E488,E488)</f>
        <v/>
      </c>
      <c r="F497" s="1323">
        <f>+D497+E497</f>
        <v/>
      </c>
    </row>
    <row r="498" ht="15" customHeight="1">
      <c r="A498" s="307" t="n"/>
      <c r="B498" s="9">
        <f>+B489</f>
        <v/>
      </c>
      <c r="D498" s="1323">
        <f>F497+IF(E488&lt;0,E488,0)+IF(E489&lt;0,E489,0)</f>
        <v/>
      </c>
      <c r="E498" s="1323">
        <f>IF(E489&lt;0,-E489,E489)</f>
        <v/>
      </c>
      <c r="F498" s="1323">
        <f>+D498+E498</f>
        <v/>
      </c>
    </row>
    <row r="499" ht="15" customHeight="1">
      <c r="A499" s="307" t="n"/>
      <c r="B499" s="9">
        <f>+B490</f>
        <v/>
      </c>
      <c r="D499" s="1323">
        <f>F498+IF(E489&lt;0,E489,0)+IF(E490&lt;0,E490,0)</f>
        <v/>
      </c>
      <c r="E499" s="1323">
        <f>IF(E490&lt;0,-E490,E490)</f>
        <v/>
      </c>
      <c r="F499" s="1323">
        <f>+D499+E499</f>
        <v/>
      </c>
    </row>
    <row r="500" ht="15" customHeight="1">
      <c r="A500" s="307" t="n"/>
      <c r="B500" s="9">
        <f>+B491</f>
        <v/>
      </c>
      <c r="D500" s="1323">
        <f>F499+IF(E490&lt;0,E490,0)+IF(E491&lt;0,E491,0)</f>
        <v/>
      </c>
      <c r="E500" s="1323">
        <f>IF(E491&lt;0,-E491,E491)</f>
        <v/>
      </c>
      <c r="F500" s="1323">
        <f>+D500+E500</f>
        <v/>
      </c>
    </row>
    <row r="501" ht="15" customHeight="1">
      <c r="A501" s="307" t="n"/>
      <c r="B501" s="42">
        <f>+B492</f>
        <v/>
      </c>
      <c r="C501" s="5" t="n"/>
      <c r="D501" s="1324">
        <f>F500+IF(E491&lt;0,E491,0)+IF(E492&lt;0,E492,0)</f>
        <v/>
      </c>
      <c r="E501" s="1324">
        <f>IF(E492&lt;0,-E492,E492)</f>
        <v/>
      </c>
      <c r="F501" s="1324">
        <f>+D501+E501</f>
        <v/>
      </c>
    </row>
    <row r="502" ht="15" customHeight="1">
      <c r="A502" s="307" t="n"/>
      <c r="B502" s="9" t="inlineStr">
        <is>
          <t>MOIC (incl. equity injections)</t>
        </is>
      </c>
      <c r="D502" s="1323" t="n">
        <v>0</v>
      </c>
      <c r="E502" s="1323">
        <f>IF(E492&gt;0,D501+E501,D501)</f>
        <v/>
      </c>
      <c r="F502" s="1323">
        <f>+D502+E502</f>
        <v/>
      </c>
    </row>
    <row r="503" ht="15" customHeight="1">
      <c r="A503" s="307" t="n"/>
    </row>
    <row r="504" ht="15" customHeight="1">
      <c r="A504" s="307" t="n"/>
      <c r="B504" s="28" t="inlineStr">
        <is>
          <t>Returns sensitivites</t>
        </is>
      </c>
      <c r="C504" s="28" t="n"/>
      <c r="D504" s="28" t="n"/>
      <c r="E504" s="28" t="n"/>
      <c r="F504" s="28" t="n"/>
      <c r="G504" s="28" t="n"/>
      <c r="H504" s="28" t="n"/>
      <c r="I504" s="1302" t="n"/>
      <c r="J504" s="1302" t="n"/>
      <c r="K504" s="1302" t="n"/>
      <c r="L504" s="1302" t="n"/>
      <c r="M504" s="1302" t="n"/>
      <c r="N504" s="1302" t="n"/>
      <c r="O504" s="1302" t="n"/>
    </row>
    <row r="505" ht="15" customHeight="1">
      <c r="A505" s="307" t="n"/>
    </row>
    <row r="506" ht="15" customHeight="1">
      <c r="A506" s="307" t="n"/>
      <c r="B506" s="176">
        <f>YEAR($N$157)&amp;" CoC"</f>
        <v/>
      </c>
      <c r="C506" s="176" t="n"/>
      <c r="D506" s="176" t="n"/>
      <c r="E506" s="176" t="n"/>
      <c r="F506" s="176" t="inlineStr">
        <is>
          <t>EV / Entry Mult.</t>
        </is>
      </c>
      <c r="G506" s="176" t="n"/>
      <c r="H506" s="176" t="n"/>
      <c r="J506" s="176">
        <f>YEAR($N$157)&amp;" Cap. Gain"</f>
        <v/>
      </c>
      <c r="K506" s="176" t="n"/>
      <c r="L506" s="176" t="n"/>
      <c r="M506" s="176" t="n"/>
      <c r="N506" s="176" t="inlineStr">
        <is>
          <t>EV / Entry Mult.</t>
        </is>
      </c>
      <c r="O506" s="176" t="n"/>
      <c r="P506" s="176" t="n"/>
    </row>
    <row r="507" ht="15" customHeight="1">
      <c r="A507" s="307" t="n"/>
      <c r="B507" s="176" t="n"/>
      <c r="C507" s="176" t="n"/>
      <c r="D507" s="1325">
        <f>D508*$K$37</f>
        <v/>
      </c>
      <c r="E507" s="1325">
        <f>E508*$K$37</f>
        <v/>
      </c>
      <c r="F507" s="1325">
        <f>F508*$K$37</f>
        <v/>
      </c>
      <c r="G507" s="1325">
        <f>G508*$K$37</f>
        <v/>
      </c>
      <c r="H507" s="1325">
        <f>H508*$K$37</f>
        <v/>
      </c>
      <c r="J507" s="176" t="n"/>
      <c r="K507" s="176" t="n"/>
      <c r="L507" s="1325">
        <f>L508*$K$37</f>
        <v/>
      </c>
      <c r="M507" s="1325">
        <f>M508*$K$37</f>
        <v/>
      </c>
      <c r="N507" s="1325">
        <f>N508*$K$37</f>
        <v/>
      </c>
      <c r="O507" s="1325">
        <f>O508*$K$37</f>
        <v/>
      </c>
      <c r="P507" s="1325">
        <f>P508*$K$37</f>
        <v/>
      </c>
    </row>
    <row r="508" ht="15" customHeight="1">
      <c r="A508" s="307" t="n"/>
      <c r="B508" s="176" t="n"/>
      <c r="C508" s="1326">
        <f>N386</f>
        <v/>
      </c>
      <c r="D508" s="1326">
        <f>C509</f>
        <v/>
      </c>
      <c r="E508" s="1326">
        <f>D508+0.5</f>
        <v/>
      </c>
      <c r="F508" s="1326">
        <f>E508+0.5</f>
        <v/>
      </c>
      <c r="G508" s="1326">
        <f>F508+0.5</f>
        <v/>
      </c>
      <c r="H508" s="1326">
        <f>G508+0.5</f>
        <v/>
      </c>
      <c r="J508" s="176" t="n"/>
      <c r="K508" s="1327">
        <f>N387</f>
        <v/>
      </c>
      <c r="L508" s="1326">
        <f>D508</f>
        <v/>
      </c>
      <c r="M508" s="1326">
        <f>E508</f>
        <v/>
      </c>
      <c r="N508" s="1326">
        <f>F508</f>
        <v/>
      </c>
      <c r="O508" s="1326">
        <f>G508</f>
        <v/>
      </c>
      <c r="P508" s="1326">
        <f>H508</f>
        <v/>
      </c>
    </row>
    <row r="509" ht="15" customHeight="1">
      <c r="A509" s="307" t="n"/>
      <c r="B509" s="176" t="n"/>
      <c r="C509" s="1328" t="n">
        <v>6</v>
      </c>
      <c r="D509" s="1329">
        <f t="dataTable" ref="D509:H513" dt2D="1" dtr="1" r1="F42" r2="F43"/>
        <v/>
      </c>
      <c r="E509" s="1329" t="n">
        <v>4.022150124438062</v>
      </c>
      <c r="F509" s="1329" t="n">
        <v>3.148038092826019</v>
      </c>
      <c r="G509" s="1329" t="n">
        <v>2.594490347586492</v>
      </c>
      <c r="H509" s="1329" t="n">
        <v>2.213739678024413</v>
      </c>
      <c r="J509" s="176" t="n"/>
      <c r="K509" s="1326">
        <f>C509</f>
        <v/>
      </c>
      <c r="L509" s="1330">
        <f t="dataTable" ref="L509:P513" dt2D="1" dtr="1" r1="F42" r2="F43" ca="1"/>
        <v/>
      </c>
      <c r="M509" s="1330" t="n">
        <v>13.82823883892863</v>
      </c>
      <c r="N509" s="1330" t="n">
        <v>12.72819162038412</v>
      </c>
      <c r="O509" s="1330" t="n">
        <v>11.60049623772655</v>
      </c>
      <c r="P509" s="1330" t="n">
        <v>10.46878384636192</v>
      </c>
    </row>
    <row r="510" ht="15" customHeight="1">
      <c r="A510" s="307" t="n"/>
      <c r="B510" s="176" t="n"/>
      <c r="C510" s="1326">
        <f>C509+0.5</f>
        <v/>
      </c>
      <c r="D510" s="1329" t="n">
        <v>7.130099380534904</v>
      </c>
      <c r="E510" s="1331" t="n">
        <v>5.081305059217659</v>
      </c>
      <c r="F510" s="1331" t="n">
        <v>3.965783261776428</v>
      </c>
      <c r="G510" s="1331" t="n">
        <v>3.267321263797219</v>
      </c>
      <c r="H510" s="1329" t="n">
        <v>2.781388520120986</v>
      </c>
      <c r="J510" s="176" t="n"/>
      <c r="K510" s="1326">
        <f>C510</f>
        <v/>
      </c>
      <c r="L510" s="1330" t="n">
        <v>19.77424464012403</v>
      </c>
      <c r="M510" s="1332" t="n">
        <v>18.67453925502244</v>
      </c>
      <c r="N510" s="1332" t="n">
        <v>17.57373753589001</v>
      </c>
      <c r="O510" s="1332" t="n">
        <v>16.49558545789209</v>
      </c>
      <c r="P510" s="1330" t="n">
        <v>15.36488565150298</v>
      </c>
    </row>
    <row r="511" ht="15" customHeight="1">
      <c r="A511" s="307" t="n"/>
      <c r="B511" s="176" t="inlineStr">
        <is>
          <t>Exit Mult.</t>
        </is>
      </c>
      <c r="C511" s="1326">
        <f>C510+0.5</f>
        <v/>
      </c>
      <c r="D511" s="1329" t="n">
        <v>8.635200367903282</v>
      </c>
      <c r="E511" s="1331" t="n">
        <v>6.142315951521972</v>
      </c>
      <c r="F511" s="1333" t="n">
        <v>4.784871235077725</v>
      </c>
      <c r="G511" s="1331" t="n">
        <v>3.930768084445006</v>
      </c>
      <c r="H511" s="1329" t="n">
        <v>3.3477928739894</v>
      </c>
      <c r="J511" s="176" t="inlineStr">
        <is>
          <t>Exit Mult.</t>
        </is>
      </c>
      <c r="K511" s="1326">
        <f>C511</f>
        <v/>
      </c>
      <c r="L511" s="1330" t="n">
        <v>24.62934294845154</v>
      </c>
      <c r="M511" s="1332" t="n">
        <v>23.52933184485678</v>
      </c>
      <c r="N511" s="1334" t="n">
        <v>22.42724023351438</v>
      </c>
      <c r="O511" s="1332" t="n">
        <v>21.32240197547457</v>
      </c>
      <c r="P511" s="1330" t="n">
        <v>20.25025345948153</v>
      </c>
    </row>
    <row r="512" ht="15" customHeight="1">
      <c r="A512" s="307" t="n"/>
      <c r="B512" s="176" t="n"/>
      <c r="C512" s="1326">
        <f>C511+0.5</f>
        <v/>
      </c>
      <c r="D512" s="1329" t="n">
        <v>10.14192011471634</v>
      </c>
      <c r="E512" s="1331" t="n">
        <v>7.202985523952544</v>
      </c>
      <c r="F512" s="1331" t="n">
        <v>5.604425536310718</v>
      </c>
      <c r="G512" s="1331" t="n">
        <v>4.598435520248967</v>
      </c>
      <c r="H512" s="1329" t="n">
        <v>3.906889017092786</v>
      </c>
      <c r="J512" s="176" t="n"/>
      <c r="K512" s="1326">
        <f>C512</f>
        <v/>
      </c>
      <c r="L512" s="1330" t="n">
        <v>29.48966299027561</v>
      </c>
      <c r="M512" s="1332" t="n">
        <v>28.38256268145576</v>
      </c>
      <c r="N512" s="1332" t="n">
        <v>27.28350615553983</v>
      </c>
      <c r="O512" s="1332" t="n">
        <v>26.17992500082248</v>
      </c>
      <c r="P512" s="1330" t="n">
        <v>25.07258626894436</v>
      </c>
    </row>
    <row r="513" ht="15" customHeight="1">
      <c r="A513" s="307" t="n"/>
      <c r="B513" s="176" t="n"/>
      <c r="C513" s="1326">
        <f>C512+0.5</f>
        <v/>
      </c>
      <c r="D513" s="1329" t="n">
        <v>11.64919283348802</v>
      </c>
      <c r="E513" s="1329" t="n">
        <v>8.265100602552737</v>
      </c>
      <c r="F513" s="1329" t="n">
        <v>6.423324907748365</v>
      </c>
      <c r="G513" s="1329" t="n">
        <v>5.265953949708972</v>
      </c>
      <c r="H513" s="1329" t="n">
        <v>4.470353606402393</v>
      </c>
      <c r="J513" s="176" t="n"/>
      <c r="K513" s="1326">
        <f>C513</f>
        <v/>
      </c>
      <c r="L513" s="1330" t="n">
        <v>34.35176678830172</v>
      </c>
      <c r="M513" s="1330" t="n">
        <v>33.24240761852415</v>
      </c>
      <c r="N513" s="1330" t="n">
        <v>32.13589129353222</v>
      </c>
      <c r="O513" s="1330" t="n">
        <v>31.03636395091395</v>
      </c>
      <c r="P513" s="1330" t="n">
        <v>29.9325979315463</v>
      </c>
    </row>
    <row r="514" ht="15" customHeight="1">
      <c r="A514" s="307" t="n"/>
    </row>
    <row r="515" ht="15" customHeight="1">
      <c r="A515" s="307" t="inlineStr">
        <is>
          <t>x</t>
        </is>
      </c>
      <c r="B515" s="44" t="inlineStr">
        <is>
          <t>KPIs</t>
        </is>
      </c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</row>
    <row r="516" ht="15" customHeight="1">
      <c r="B516" s="55" t="n"/>
      <c r="C516" s="48" t="n"/>
      <c r="D516" s="48" t="n"/>
      <c r="E516" s="48" t="n"/>
      <c r="F516" s="48" t="n"/>
      <c r="G516" s="23" t="n"/>
      <c r="H516" s="48" t="n"/>
      <c r="I516" s="1335">
        <f>+I156</f>
        <v/>
      </c>
      <c r="J516" s="48" t="n"/>
      <c r="K516" s="48" t="n"/>
      <c r="L516" s="48" t="n"/>
      <c r="M516" s="48" t="n"/>
      <c r="N516" s="48" t="n"/>
    </row>
    <row r="517" ht="15" customHeight="1">
      <c r="B517" s="28">
        <f>+$B$157</f>
        <v/>
      </c>
      <c r="C517" s="43" t="n"/>
      <c r="D517" s="43" t="n"/>
      <c r="E517" s="1302">
        <f>E$157</f>
        <v/>
      </c>
      <c r="F517" s="1302">
        <f>F$157</f>
        <v/>
      </c>
      <c r="G517" s="1302">
        <f>G$157</f>
        <v/>
      </c>
      <c r="H517" s="1336">
        <f>H$157</f>
        <v/>
      </c>
      <c r="I517" s="1302">
        <f>I$157</f>
        <v/>
      </c>
      <c r="J517" s="1302">
        <f>J$157</f>
        <v/>
      </c>
      <c r="K517" s="1302">
        <f>K$157</f>
        <v/>
      </c>
      <c r="L517" s="1302">
        <f>L$157</f>
        <v/>
      </c>
      <c r="M517" s="1302">
        <f>M$157</f>
        <v/>
      </c>
      <c r="N517" s="1302">
        <f>N$157</f>
        <v/>
      </c>
      <c r="O517" s="1302" t="n"/>
    </row>
    <row r="518" ht="15" customHeight="1">
      <c r="B518" s="9" t="n"/>
      <c r="C518" s="9" t="n"/>
      <c r="D518" s="9" t="n"/>
      <c r="E518" s="9" t="n"/>
      <c r="F518" s="9" t="n"/>
      <c r="G518" s="9" t="n"/>
      <c r="H518" s="57" t="n"/>
      <c r="I518" s="83">
        <f>+LBO!$F$40</f>
        <v/>
      </c>
      <c r="J518" s="83" t="n"/>
      <c r="K518" s="83" t="n"/>
      <c r="L518" s="83" t="n"/>
      <c r="M518" s="83" t="n"/>
      <c r="N518" s="83" t="n"/>
    </row>
    <row r="519" outlineLevel="1" ht="15" customHeight="1">
      <c r="B519" s="4" t="inlineStr">
        <is>
          <t>Data</t>
        </is>
      </c>
      <c r="C519" s="4" t="n"/>
      <c r="D519" s="4" t="n"/>
      <c r="E519" s="4" t="n"/>
      <c r="F519" s="4" t="n"/>
      <c r="G519" s="4" t="n"/>
      <c r="H519" s="62" t="n"/>
      <c r="I519" s="4" t="n"/>
      <c r="J519" s="4" t="n"/>
      <c r="K519" s="4" t="n"/>
      <c r="L519" s="4" t="n"/>
      <c r="M519" s="4" t="n"/>
      <c r="N519" s="4" t="n"/>
    </row>
    <row r="520" outlineLevel="1" ht="15" customHeight="1">
      <c r="B520" s="1" t="inlineStr">
        <is>
          <t>Revenue</t>
        </is>
      </c>
      <c r="C520" s="40" t="n"/>
      <c r="D520" s="40" t="n"/>
      <c r="E520" s="1292">
        <f>+E162</f>
        <v/>
      </c>
      <c r="F520" s="1292">
        <f>+F162</f>
        <v/>
      </c>
      <c r="G520" s="1292">
        <f>+G162</f>
        <v/>
      </c>
      <c r="H520" s="1337">
        <f>+H162</f>
        <v/>
      </c>
      <c r="I520" s="1292">
        <f>+I162</f>
        <v/>
      </c>
      <c r="J520" s="1292">
        <f>+J162</f>
        <v/>
      </c>
      <c r="K520" s="1292">
        <f>+K162</f>
        <v/>
      </c>
      <c r="L520" s="1292">
        <f>+L162</f>
        <v/>
      </c>
      <c r="M520" s="1292">
        <f>+M162</f>
        <v/>
      </c>
      <c r="N520" s="1292">
        <f>+N162</f>
        <v/>
      </c>
    </row>
    <row r="521" outlineLevel="1" ht="15" customHeight="1">
      <c r="B521" s="1" t="inlineStr">
        <is>
          <t>Gross profit</t>
        </is>
      </c>
      <c r="C521" s="40" t="n"/>
      <c r="D521" s="40" t="n"/>
      <c r="E521" s="1292">
        <f>+E171</f>
        <v/>
      </c>
      <c r="F521" s="1292">
        <f>+F171</f>
        <v/>
      </c>
      <c r="G521" s="1292">
        <f>+G171</f>
        <v/>
      </c>
      <c r="H521" s="1338">
        <f>+H171</f>
        <v/>
      </c>
      <c r="I521" s="1292">
        <f>+I171</f>
        <v/>
      </c>
      <c r="J521" s="1292">
        <f>+J171</f>
        <v/>
      </c>
      <c r="K521" s="1292">
        <f>+K171</f>
        <v/>
      </c>
      <c r="L521" s="1292">
        <f>+L171</f>
        <v/>
      </c>
      <c r="M521" s="1292">
        <f>+M171</f>
        <v/>
      </c>
      <c r="N521" s="1292">
        <f>+N171</f>
        <v/>
      </c>
    </row>
    <row r="522" outlineLevel="1" ht="15" customHeight="1">
      <c r="B522" s="9" t="inlineStr">
        <is>
          <t>EBITDA</t>
        </is>
      </c>
      <c r="C522" s="9" t="n"/>
      <c r="D522" s="9" t="n"/>
      <c r="E522" s="1292">
        <f>+E181</f>
        <v/>
      </c>
      <c r="F522" s="1292">
        <f>+F181</f>
        <v/>
      </c>
      <c r="G522" s="1292">
        <f>+G181</f>
        <v/>
      </c>
      <c r="H522" s="1338">
        <f>+H181</f>
        <v/>
      </c>
      <c r="I522" s="1292">
        <f>+I181</f>
        <v/>
      </c>
      <c r="J522" s="1292">
        <f>+J181</f>
        <v/>
      </c>
      <c r="K522" s="1292">
        <f>+K181</f>
        <v/>
      </c>
      <c r="L522" s="1292">
        <f>+L181</f>
        <v/>
      </c>
      <c r="M522" s="1292">
        <f>+M181</f>
        <v/>
      </c>
      <c r="N522" s="1292">
        <f>+N181</f>
        <v/>
      </c>
    </row>
    <row r="523" outlineLevel="1" ht="15" customHeight="1">
      <c r="B523" s="9" t="inlineStr">
        <is>
          <t>EBITDA-M.Capex</t>
        </is>
      </c>
      <c r="C523" s="9" t="n"/>
      <c r="D523" s="9" t="n"/>
      <c r="E523" s="1292">
        <f>+E181+E213</f>
        <v/>
      </c>
      <c r="F523" s="1292">
        <f>+F181+F213</f>
        <v/>
      </c>
      <c r="G523" s="1292">
        <f>+G181+G213</f>
        <v/>
      </c>
      <c r="H523" s="1338">
        <f>+H181+H213</f>
        <v/>
      </c>
      <c r="I523" s="1292">
        <f>+I181+I213</f>
        <v/>
      </c>
      <c r="J523" s="1292">
        <f>+J181+J213</f>
        <v/>
      </c>
      <c r="K523" s="1292">
        <f>+K181+K213</f>
        <v/>
      </c>
      <c r="L523" s="1292">
        <f>+L181+L213</f>
        <v/>
      </c>
      <c r="M523" s="1292">
        <f>+M181+M213</f>
        <v/>
      </c>
      <c r="N523" s="1292">
        <f>+N181+N213</f>
        <v/>
      </c>
    </row>
    <row r="524" outlineLevel="1" ht="15" customHeight="1">
      <c r="B524" s="9" t="inlineStr">
        <is>
          <t>EBIT</t>
        </is>
      </c>
      <c r="C524" s="40" t="n"/>
      <c r="D524" s="40" t="n"/>
      <c r="E524" s="1292">
        <f>+E189</f>
        <v/>
      </c>
      <c r="F524" s="1292">
        <f>+F189</f>
        <v/>
      </c>
      <c r="G524" s="1292">
        <f>+G189</f>
        <v/>
      </c>
      <c r="H524" s="1338">
        <f>+H189</f>
        <v/>
      </c>
      <c r="I524" s="1292">
        <f>+I189</f>
        <v/>
      </c>
      <c r="J524" s="1292">
        <f>+J189</f>
        <v/>
      </c>
      <c r="K524" s="1292">
        <f>+K189</f>
        <v/>
      </c>
      <c r="L524" s="1292">
        <f>+L189</f>
        <v/>
      </c>
      <c r="M524" s="1292">
        <f>+M189</f>
        <v/>
      </c>
      <c r="N524" s="1292">
        <f>+N189</f>
        <v/>
      </c>
    </row>
    <row r="525" outlineLevel="1" ht="15" customHeight="1">
      <c r="B525" s="9" t="inlineStr">
        <is>
          <t>Gross debt</t>
        </is>
      </c>
      <c r="C525" s="9" t="n"/>
      <c r="D525" s="9" t="n"/>
      <c r="E525" s="353" t="n"/>
      <c r="F525" s="353" t="n"/>
      <c r="G525" s="353" t="n"/>
      <c r="H525" s="1338">
        <f>+H261</f>
        <v/>
      </c>
      <c r="I525" s="1292">
        <f>+I261</f>
        <v/>
      </c>
      <c r="J525" s="1292">
        <f>+J261</f>
        <v/>
      </c>
      <c r="K525" s="1292">
        <f>+K261</f>
        <v/>
      </c>
      <c r="L525" s="1292">
        <f>+L261</f>
        <v/>
      </c>
      <c r="M525" s="1292">
        <f>+M261</f>
        <v/>
      </c>
      <c r="N525" s="1292">
        <f>+N261</f>
        <v/>
      </c>
    </row>
    <row r="526" outlineLevel="1" ht="15" customHeight="1">
      <c r="B526" s="9" t="inlineStr">
        <is>
          <t>Net debt</t>
        </is>
      </c>
      <c r="C526" s="9" t="n"/>
      <c r="D526" s="9" t="n"/>
      <c r="E526" s="353" t="n"/>
      <c r="F526" s="353" t="n"/>
      <c r="G526" s="353" t="n"/>
      <c r="H526" s="1338">
        <f>+H262</f>
        <v/>
      </c>
      <c r="I526" s="1292">
        <f>+I262</f>
        <v/>
      </c>
      <c r="J526" s="1292">
        <f>+J262</f>
        <v/>
      </c>
      <c r="K526" s="1292">
        <f>+K262</f>
        <v/>
      </c>
      <c r="L526" s="1292">
        <f>+L262</f>
        <v/>
      </c>
      <c r="M526" s="1292">
        <f>+M262</f>
        <v/>
      </c>
      <c r="N526" s="1292">
        <f>+N262</f>
        <v/>
      </c>
    </row>
    <row r="527" outlineLevel="1" ht="15" customHeight="1">
      <c r="B527" s="9" t="inlineStr">
        <is>
          <t>Total cash interest</t>
        </is>
      </c>
      <c r="C527" s="9" t="n"/>
      <c r="D527" s="9" t="n"/>
      <c r="E527" s="353" t="n"/>
      <c r="F527" s="353" t="n"/>
      <c r="G527" s="353" t="n"/>
      <c r="H527" s="353" t="n"/>
      <c r="I527" s="1292">
        <f>-I344</f>
        <v/>
      </c>
      <c r="J527" s="1292">
        <f>-J344</f>
        <v/>
      </c>
      <c r="K527" s="1292">
        <f>-K344</f>
        <v/>
      </c>
      <c r="L527" s="1292">
        <f>-L344</f>
        <v/>
      </c>
      <c r="M527" s="1292">
        <f>-M344</f>
        <v/>
      </c>
      <c r="N527" s="1292">
        <f>-N344</f>
        <v/>
      </c>
    </row>
    <row r="528" outlineLevel="1" ht="15" customHeight="1">
      <c r="B528" s="9" t="inlineStr">
        <is>
          <t>Cash flow before debt service</t>
        </is>
      </c>
      <c r="C528" s="9" t="n"/>
      <c r="D528" s="9" t="n"/>
      <c r="E528" s="353" t="n"/>
      <c r="F528" s="353" t="n"/>
      <c r="G528" s="353" t="n"/>
      <c r="H528" s="353" t="n"/>
      <c r="I528" s="1292">
        <f>+I221</f>
        <v/>
      </c>
      <c r="J528" s="1292">
        <f>+J221</f>
        <v/>
      </c>
      <c r="K528" s="1292">
        <f>+K221</f>
        <v/>
      </c>
      <c r="L528" s="1292">
        <f>+L221</f>
        <v/>
      </c>
      <c r="M528" s="1292">
        <f>+M221</f>
        <v/>
      </c>
      <c r="N528" s="1292">
        <f>+N221</f>
        <v/>
      </c>
    </row>
    <row r="529" outlineLevel="1" ht="15" customHeight="1">
      <c r="B529" s="9" t="inlineStr">
        <is>
          <t>Debt service requirements</t>
        </is>
      </c>
      <c r="C529" s="9" t="n"/>
      <c r="D529" s="9" t="n"/>
      <c r="E529" s="353" t="n"/>
      <c r="F529" s="353" t="n"/>
      <c r="G529" s="353" t="n"/>
      <c r="H529" s="353" t="n"/>
      <c r="I529" s="1292">
        <f>+I223+I224</f>
        <v/>
      </c>
      <c r="J529" s="1292">
        <f>+J223+J224</f>
        <v/>
      </c>
      <c r="K529" s="1292">
        <f>+K223+K224</f>
        <v/>
      </c>
      <c r="L529" s="1292">
        <f>+L223+L224</f>
        <v/>
      </c>
      <c r="M529" s="1292">
        <f>+M223+M224</f>
        <v/>
      </c>
      <c r="N529" s="1292">
        <f>+N223+N224</f>
        <v/>
      </c>
    </row>
    <row r="530" outlineLevel="1" ht="15" customHeight="1">
      <c r="B530" s="9" t="n"/>
      <c r="C530" s="9" t="n"/>
      <c r="D530" s="9" t="n"/>
      <c r="E530" s="9" t="n"/>
      <c r="F530" s="9" t="n"/>
      <c r="H530" s="57" t="n"/>
      <c r="I530" s="9" t="n"/>
      <c r="J530" s="9" t="n"/>
      <c r="K530" s="9" t="n"/>
      <c r="L530" s="9" t="n"/>
      <c r="M530" s="9" t="n"/>
      <c r="N530" s="9" t="n"/>
    </row>
    <row r="531" ht="15" customHeight="1">
      <c r="B531" s="40" t="inlineStr">
        <is>
          <t>P&amp;L</t>
        </is>
      </c>
      <c r="C531" s="40" t="n"/>
      <c r="D531" s="40" t="n"/>
      <c r="E531" s="40" t="n"/>
      <c r="F531" s="40" t="n"/>
      <c r="H531" s="63" t="n"/>
      <c r="I531" s="40" t="n"/>
      <c r="J531" s="40" t="n"/>
      <c r="K531" s="40" t="n"/>
      <c r="L531" s="40" t="n"/>
      <c r="M531" s="40" t="n"/>
      <c r="N531" s="40" t="n"/>
    </row>
    <row r="532" ht="15" customHeight="1">
      <c r="B532" s="183" t="inlineStr">
        <is>
          <t>Revenue growth</t>
        </is>
      </c>
      <c r="C532" s="451" t="n"/>
      <c r="D532" s="451" t="n"/>
      <c r="E532" s="420" t="n"/>
      <c r="F532" s="1339">
        <f>+F520/E520-1</f>
        <v/>
      </c>
      <c r="G532" s="1340">
        <f>+G520/F520-1</f>
        <v/>
      </c>
      <c r="H532" s="1341">
        <f>+H520/G520-1</f>
        <v/>
      </c>
      <c r="I532" s="420" t="n"/>
      <c r="J532" s="1342">
        <f>+J520/H520-1</f>
        <v/>
      </c>
      <c r="K532" s="1342">
        <f>+K520/J520-1</f>
        <v/>
      </c>
      <c r="L532" s="1342">
        <f>+L520/K520-1</f>
        <v/>
      </c>
      <c r="M532" s="1342">
        <f>+M520/L520-1</f>
        <v/>
      </c>
      <c r="N532" s="1342">
        <f>+N520/M520-1</f>
        <v/>
      </c>
    </row>
    <row r="533" ht="15" customHeight="1">
      <c r="B533" s="9">
        <f>"Revenue CAGR (measured from "&amp;TEXT(H517,"yyy")&amp;")"</f>
        <v/>
      </c>
      <c r="C533" s="40" t="n"/>
      <c r="D533" s="40" t="n"/>
      <c r="E533" s="353" t="n"/>
      <c r="F533" s="353" t="n"/>
      <c r="G533" s="353" t="n"/>
      <c r="H533" s="353" t="n"/>
      <c r="I533" s="597" t="n"/>
      <c r="J533" s="1343">
        <f>+(J520/$H520)^(1/1)-1</f>
        <v/>
      </c>
      <c r="K533" s="1343">
        <f>+(K520/$H520)^(1/2)-1</f>
        <v/>
      </c>
      <c r="L533" s="1343">
        <f>+(L520/$H520)^(1/3)-1</f>
        <v/>
      </c>
      <c r="M533" s="1343">
        <f>+(M520/$H520)^(1/4)-1</f>
        <v/>
      </c>
      <c r="N533" s="1343">
        <f>+(N520/$H520)^(1/5)-1</f>
        <v/>
      </c>
    </row>
    <row r="534" ht="15" customHeight="1">
      <c r="B534" s="9" t="inlineStr">
        <is>
          <t>Gross profit margin</t>
        </is>
      </c>
      <c r="C534" s="40" t="n"/>
      <c r="D534" s="40" t="n"/>
      <c r="E534" s="1300">
        <f>+IFERROR(E521/E520,"NM")</f>
        <v/>
      </c>
      <c r="F534" s="1300">
        <f>+IFERROR(F521/F520,"NM")</f>
        <v/>
      </c>
      <c r="G534" s="1068">
        <f>+IFERROR(G521/G520,"NM")</f>
        <v/>
      </c>
      <c r="H534" s="1300">
        <f>+IFERROR(H521/H520,"NM")</f>
        <v/>
      </c>
      <c r="I534" s="597" t="n"/>
      <c r="J534" s="1343">
        <f>+IFERROR(J521/J520,"NM")</f>
        <v/>
      </c>
      <c r="K534" s="1343">
        <f>+IFERROR(K521/K520,"NM")</f>
        <v/>
      </c>
      <c r="L534" s="1343">
        <f>+IFERROR(L521/L520,"NM")</f>
        <v/>
      </c>
      <c r="M534" s="1344">
        <f>+IFERROR(M521/M520,"NM")</f>
        <v/>
      </c>
      <c r="N534" s="1344">
        <f>+IFERROR(N521/N520,"NM")</f>
        <v/>
      </c>
      <c r="O534" s="1344" t="n"/>
      <c r="P534" s="1344" t="n"/>
      <c r="Q534" s="1344" t="n"/>
      <c r="R534" s="1344" t="n"/>
    </row>
    <row r="535" ht="15" customHeight="1">
      <c r="B535" s="9" t="inlineStr">
        <is>
          <t>Gross profit growth</t>
        </is>
      </c>
      <c r="C535" s="40" t="n"/>
      <c r="D535" s="40" t="n"/>
      <c r="E535" s="353" t="n"/>
      <c r="F535" s="1300">
        <f>+F521/E521-1</f>
        <v/>
      </c>
      <c r="G535" s="1068">
        <f>+G521/F521-1</f>
        <v/>
      </c>
      <c r="H535" s="1300">
        <f>+H521/G521-1</f>
        <v/>
      </c>
      <c r="I535" s="597" t="n"/>
      <c r="J535" s="1343">
        <f>+J521/H521-1</f>
        <v/>
      </c>
      <c r="K535" s="1343">
        <f>+K521/J521-1</f>
        <v/>
      </c>
      <c r="L535" s="1343">
        <f>+L521/K521-1</f>
        <v/>
      </c>
      <c r="M535" s="1343">
        <f>+M521/L521-1</f>
        <v/>
      </c>
      <c r="N535" s="1343">
        <f>+N521/M521-1</f>
        <v/>
      </c>
    </row>
    <row r="536" ht="15" customHeight="1">
      <c r="B536" s="9" t="inlineStr">
        <is>
          <t>EBITDA margin</t>
        </is>
      </c>
      <c r="C536" s="40" t="n"/>
      <c r="D536" s="40" t="n"/>
      <c r="E536" s="1300">
        <f>+IFERROR(E522/E520,"NM")</f>
        <v/>
      </c>
      <c r="F536" s="1300">
        <f>+IFERROR(F522/F520,"NM")</f>
        <v/>
      </c>
      <c r="G536" s="1068">
        <f>+IFERROR(G522/G520,"NM")</f>
        <v/>
      </c>
      <c r="H536" s="1300">
        <f>+IFERROR(H522/H520,"NM")</f>
        <v/>
      </c>
      <c r="I536" s="597" t="n"/>
      <c r="J536" s="1343">
        <f>+IFERROR(J522/J520,"NM")</f>
        <v/>
      </c>
      <c r="K536" s="1343">
        <f>+IFERROR(K522/K520,"NM")</f>
        <v/>
      </c>
      <c r="L536" s="1343">
        <f>+IFERROR(L522/L520,"NM")</f>
        <v/>
      </c>
      <c r="M536" s="1343">
        <f>+IFERROR(M522/M520,"NM")</f>
        <v/>
      </c>
      <c r="N536" s="1343">
        <f>+IFERROR(N522/N520,"NM")</f>
        <v/>
      </c>
    </row>
    <row r="537" ht="15" customHeight="1">
      <c r="B537" s="9" t="inlineStr">
        <is>
          <t>EBITDA growth</t>
        </is>
      </c>
      <c r="C537" s="40" t="n"/>
      <c r="D537" s="40" t="n"/>
      <c r="E537" s="353" t="n"/>
      <c r="F537" s="1300">
        <f>+F522/E522-1</f>
        <v/>
      </c>
      <c r="G537" s="1068">
        <f>+G522/F522-1</f>
        <v/>
      </c>
      <c r="H537" s="1300">
        <f>+H522/G522-1</f>
        <v/>
      </c>
      <c r="I537" s="597" t="n"/>
      <c r="J537" s="1343">
        <f>+J522/H522-1</f>
        <v/>
      </c>
      <c r="K537" s="1343">
        <f>+K522/J522-1</f>
        <v/>
      </c>
      <c r="L537" s="1343">
        <f>+L522/K522-1</f>
        <v/>
      </c>
      <c r="M537" s="1343">
        <f>+M522/L522-1</f>
        <v/>
      </c>
      <c r="N537" s="1343">
        <f>+N522/M522-1</f>
        <v/>
      </c>
    </row>
    <row r="538" ht="15" customHeight="1">
      <c r="B538" s="9">
        <f>"EBITDA CAGR (measured from "&amp;TEXT(H517,"yyy")&amp;")"</f>
        <v/>
      </c>
      <c r="C538" s="40" t="n"/>
      <c r="D538" s="40" t="n"/>
      <c r="E538" s="353" t="n"/>
      <c r="F538" s="353" t="n"/>
      <c r="G538" s="353" t="n"/>
      <c r="H538" s="353" t="n"/>
      <c r="I538" s="597" t="n"/>
      <c r="J538" s="1343">
        <f>+(J522/$H522)^(1/1)-1</f>
        <v/>
      </c>
      <c r="K538" s="1343">
        <f>+(K522/$H522)^(1/2)-1</f>
        <v/>
      </c>
      <c r="L538" s="1343">
        <f>+(L522/$H522)^(1/3)-1</f>
        <v/>
      </c>
      <c r="M538" s="1343">
        <f>+(M522/$H522)^(1/4)-1</f>
        <v/>
      </c>
      <c r="N538" s="1343">
        <f>+(N522/$H522)^(1/5)-1</f>
        <v/>
      </c>
    </row>
    <row r="539" ht="15" customHeight="1">
      <c r="B539" s="9" t="inlineStr">
        <is>
          <t>EBIT margin</t>
        </is>
      </c>
      <c r="C539" s="40" t="n"/>
      <c r="D539" s="40" t="n"/>
      <c r="E539" s="1300">
        <f>+IFERROR(E524/E520,"NM")</f>
        <v/>
      </c>
      <c r="F539" s="1300">
        <f>+IFERROR(F524/F520,"NM")</f>
        <v/>
      </c>
      <c r="G539" s="1068">
        <f>+IFERROR(G524/G520,"NM")</f>
        <v/>
      </c>
      <c r="H539" s="1300">
        <f>+IFERROR(H524/H520,"NM")</f>
        <v/>
      </c>
      <c r="I539" s="597" t="n"/>
      <c r="J539" s="1343">
        <f>+IFERROR(J524/J520,"NM")</f>
        <v/>
      </c>
      <c r="K539" s="1343">
        <f>+IFERROR(K524/K520,"NM")</f>
        <v/>
      </c>
      <c r="L539" s="1343">
        <f>+IFERROR(L524/L520,"NM")</f>
        <v/>
      </c>
      <c r="M539" s="1343">
        <f>+IFERROR(M524/M520,"NM")</f>
        <v/>
      </c>
      <c r="N539" s="1343">
        <f>+IFERROR(N524/N520,"NM")</f>
        <v/>
      </c>
    </row>
    <row r="540" ht="15" customHeight="1">
      <c r="B540" s="9" t="inlineStr">
        <is>
          <t>EBIT growth</t>
        </is>
      </c>
      <c r="C540" s="40" t="n"/>
      <c r="D540" s="40" t="n"/>
      <c r="E540" s="353" t="n"/>
      <c r="F540" s="1300">
        <f>+F524/E524-1</f>
        <v/>
      </c>
      <c r="G540" s="1068">
        <f>+G524/F524-1</f>
        <v/>
      </c>
      <c r="H540" s="1300">
        <f>+H524/G524-1</f>
        <v/>
      </c>
      <c r="I540" s="597" t="n"/>
      <c r="J540" s="1343">
        <f>+J524/H524-1</f>
        <v/>
      </c>
      <c r="K540" s="1343">
        <f>+K524/J524-1</f>
        <v/>
      </c>
      <c r="L540" s="1343">
        <f>+L524/K524-1</f>
        <v/>
      </c>
      <c r="M540" s="1343">
        <f>+M524/L524-1</f>
        <v/>
      </c>
      <c r="N540" s="1343">
        <f>+N524/M524-1</f>
        <v/>
      </c>
    </row>
    <row r="541" ht="15" customHeight="1">
      <c r="B541" s="9" t="n"/>
      <c r="C541" s="40" t="n"/>
      <c r="D541" s="40" t="n"/>
      <c r="E541" s="40" t="n"/>
      <c r="F541" s="40" t="n"/>
      <c r="H541" s="1345" t="n"/>
      <c r="I541" s="1300" t="n"/>
      <c r="J541" s="1300" t="n"/>
      <c r="K541" s="1300" t="n"/>
      <c r="L541" s="1300" t="n"/>
      <c r="M541" s="1300" t="n"/>
      <c r="N541" s="1300" t="n"/>
    </row>
    <row r="542" ht="15" customHeight="1">
      <c r="B542" s="40" t="inlineStr">
        <is>
          <t>Valuation (anchored to entry EV)</t>
        </is>
      </c>
      <c r="C542" s="40" t="n"/>
      <c r="D542" s="40" t="n"/>
      <c r="E542" s="40" t="n"/>
      <c r="F542" s="40" t="n"/>
      <c r="H542" s="63" t="n"/>
      <c r="I542" s="40" t="n"/>
      <c r="J542" s="1292" t="n"/>
      <c r="K542" s="1292" t="n"/>
      <c r="L542" s="1292" t="n"/>
      <c r="M542" s="1292" t="n"/>
      <c r="N542" s="1292" t="n"/>
      <c r="P542" s="1292" t="n"/>
    </row>
    <row r="543" ht="15" customHeight="1">
      <c r="B543" s="183" t="inlineStr">
        <is>
          <t>EV / revenue</t>
        </is>
      </c>
      <c r="C543" s="451" t="n"/>
      <c r="D543" s="451" t="n"/>
      <c r="E543" s="420" t="n"/>
      <c r="F543" s="420" t="n"/>
      <c r="G543" s="420" t="n"/>
      <c r="H543" s="627" t="n"/>
      <c r="I543" s="1346">
        <f>+IFERROR($L$83/I520,"NM")</f>
        <v/>
      </c>
      <c r="J543" s="1347">
        <f>+IFERROR($L$83/J520,"NM")</f>
        <v/>
      </c>
      <c r="K543" s="1347">
        <f>+IFERROR($L$83/K520,"NM")</f>
        <v/>
      </c>
      <c r="L543" s="1347">
        <f>+IFERROR($L$83/L520,"NM")</f>
        <v/>
      </c>
      <c r="M543" s="1347">
        <f>+IFERROR($L$83/M520,"NM")</f>
        <v/>
      </c>
      <c r="N543" s="1347">
        <f>+IFERROR($L$83/N520,"NM")</f>
        <v/>
      </c>
      <c r="P543" s="1292" t="n"/>
    </row>
    <row r="544" ht="15" customHeight="1">
      <c r="B544" s="9" t="inlineStr">
        <is>
          <t>EV / EBITDA</t>
        </is>
      </c>
      <c r="C544" s="40" t="n"/>
      <c r="D544" s="40" t="n"/>
      <c r="E544" s="353" t="n"/>
      <c r="F544" s="353" t="n"/>
      <c r="G544" s="353" t="n"/>
      <c r="H544" s="628" t="n"/>
      <c r="I544" s="1344">
        <f>+IFERROR($L$83/I352,"NM")</f>
        <v/>
      </c>
      <c r="J544" s="1344">
        <f>+IFERROR($L$83/J522,"NM")</f>
        <v/>
      </c>
      <c r="K544" s="1344">
        <f>+IFERROR($L$83/K522,"NM")</f>
        <v/>
      </c>
      <c r="L544" s="1344">
        <f>+IFERROR($L$83/L522,"NM")</f>
        <v/>
      </c>
      <c r="M544" s="1344">
        <f>+IFERROR($L$83/M522,"NM")</f>
        <v/>
      </c>
      <c r="N544" s="1344">
        <f>+IFERROR($L$83/N522,"NM")</f>
        <v/>
      </c>
      <c r="P544" s="1292" t="n"/>
    </row>
    <row r="545" ht="15" customHeight="1">
      <c r="B545" s="9" t="inlineStr">
        <is>
          <t>EV / EBITDA-M.capex</t>
        </is>
      </c>
      <c r="C545" s="40" t="n"/>
      <c r="D545" s="40" t="n"/>
      <c r="E545" s="353" t="n"/>
      <c r="F545" s="353" t="n"/>
      <c r="G545" s="353" t="n"/>
      <c r="H545" s="628" t="n"/>
      <c r="I545" s="1344">
        <f>+IFERROR($L$83/I353,"NM")</f>
        <v/>
      </c>
      <c r="J545" s="1344">
        <f>+IFERROR($L$83/J353,"NM")</f>
        <v/>
      </c>
      <c r="K545" s="1344">
        <f>+IFERROR($L$83/K353,"NM")</f>
        <v/>
      </c>
      <c r="L545" s="1344">
        <f>+IFERROR($L$83/L353,"NM")</f>
        <v/>
      </c>
      <c r="M545" s="1344">
        <f>+IFERROR($L$83/M353,"NM")</f>
        <v/>
      </c>
      <c r="N545" s="1344">
        <f>+IFERROR($L$83/N353,"NM")</f>
        <v/>
      </c>
      <c r="P545" s="1292" t="n"/>
    </row>
    <row r="546" ht="15" customHeight="1">
      <c r="B546" s="9" t="inlineStr">
        <is>
          <t>EV / EBIT</t>
        </is>
      </c>
      <c r="C546" s="40" t="n"/>
      <c r="D546" s="40" t="n"/>
      <c r="E546" s="353" t="n"/>
      <c r="F546" s="353" t="n"/>
      <c r="G546" s="353" t="n"/>
      <c r="H546" s="628" t="n"/>
      <c r="I546" s="1344">
        <f>+IFERROR($L$83/I354,"NM")</f>
        <v/>
      </c>
      <c r="J546" s="1344">
        <f>+IFERROR($L$83/J354,"NM")</f>
        <v/>
      </c>
      <c r="K546" s="1344">
        <f>+IFERROR($L$83/K354,"NM")</f>
        <v/>
      </c>
      <c r="L546" s="1344">
        <f>+IFERROR($L$83/L354,"NM")</f>
        <v/>
      </c>
      <c r="M546" s="1344">
        <f>+IFERROR($L$83/M354,"NM")</f>
        <v/>
      </c>
      <c r="N546" s="1344">
        <f>+IFERROR($L$83/N354,"NM")</f>
        <v/>
      </c>
      <c r="P546" s="1292" t="n"/>
    </row>
    <row r="547" ht="15" customHeight="1">
      <c r="B547" s="9" t="inlineStr">
        <is>
          <t>Cash flow yield</t>
        </is>
      </c>
      <c r="C547" s="40" t="n"/>
      <c r="D547" s="40" t="n"/>
      <c r="E547" s="353" t="n"/>
      <c r="F547" s="353" t="n"/>
      <c r="G547" s="353" t="n"/>
      <c r="H547" s="628" t="n"/>
      <c r="I547" s="1348">
        <f>IFERROR(((I207+I212+I209)/I518)/$E$105,"NM")</f>
        <v/>
      </c>
      <c r="J547" s="1300">
        <f>(J207+J212+J209)/$E$105</f>
        <v/>
      </c>
      <c r="K547" s="1300">
        <f>(K207+K212+K209)/$E$105</f>
        <v/>
      </c>
      <c r="L547" s="1300">
        <f>(L207+L212+L209)/$E$105</f>
        <v/>
      </c>
      <c r="M547" s="1300">
        <f>(M207+M212+M209)/$E$105</f>
        <v/>
      </c>
      <c r="N547" s="1300">
        <f>(N207+N212+N209)/$E$105</f>
        <v/>
      </c>
      <c r="P547" s="1292" t="n"/>
    </row>
    <row r="548" ht="15" customHeight="1">
      <c r="B548" s="9" t="inlineStr">
        <is>
          <t>"PEG" ratio (EV/EBITDA / YoY EBITDA growth)</t>
        </is>
      </c>
      <c r="C548" s="40" t="n"/>
      <c r="D548" s="40" t="n"/>
      <c r="E548" s="353" t="n"/>
      <c r="F548" s="353" t="n"/>
      <c r="G548" s="353" t="n"/>
      <c r="H548" s="628" t="n"/>
      <c r="I548" s="353" t="n"/>
      <c r="J548" s="1349">
        <f>+J544/(J537*100)</f>
        <v/>
      </c>
      <c r="K548" s="1349">
        <f>+K544/(K537*100)</f>
        <v/>
      </c>
      <c r="L548" s="1349">
        <f>+L544/(L537*100)</f>
        <v/>
      </c>
      <c r="M548" s="1349">
        <f>+M544/(M537*100)</f>
        <v/>
      </c>
      <c r="N548" s="1349">
        <f>+N544/(N537*100)</f>
        <v/>
      </c>
      <c r="P548" s="1292" t="n"/>
    </row>
    <row r="549" ht="15" customHeight="1">
      <c r="B549" s="9" t="n"/>
      <c r="C549" s="40" t="n"/>
      <c r="D549" s="40" t="n"/>
      <c r="E549" s="40" t="n"/>
      <c r="F549" s="40" t="n"/>
      <c r="H549" s="63" t="n"/>
      <c r="I549" s="40" t="n"/>
      <c r="J549" s="1292" t="n"/>
      <c r="K549" s="1292" t="n"/>
      <c r="L549" s="1292" t="n"/>
      <c r="M549" s="1292" t="n"/>
      <c r="N549" s="1292" t="n"/>
      <c r="P549" s="1292" t="n"/>
    </row>
    <row r="550" ht="15" customHeight="1">
      <c r="B550" s="9" t="inlineStr">
        <is>
          <t>Total equity invested / EBITDA</t>
        </is>
      </c>
      <c r="C550" s="40" t="n"/>
      <c r="D550" s="40" t="n"/>
      <c r="E550" s="353" t="n"/>
      <c r="F550" s="353" t="n"/>
      <c r="G550" s="353" t="n"/>
      <c r="H550" s="628" t="n"/>
      <c r="I550" s="1344">
        <f>+I373/I522</f>
        <v/>
      </c>
      <c r="J550" s="1344">
        <f>+J373/J522</f>
        <v/>
      </c>
      <c r="K550" s="1344">
        <f>+K373/K522</f>
        <v/>
      </c>
      <c r="L550" s="1344">
        <f>+L373/L522</f>
        <v/>
      </c>
      <c r="M550" s="1344">
        <f>+M373/M522</f>
        <v/>
      </c>
      <c r="N550" s="1344">
        <f>+N373/N522</f>
        <v/>
      </c>
      <c r="P550" s="1292" t="n"/>
    </row>
    <row r="551" ht="15" customHeight="1">
      <c r="B551" s="9" t="inlineStr">
        <is>
          <t>Total Blixt equity invested / EBITDA</t>
        </is>
      </c>
      <c r="C551" s="40" t="n"/>
      <c r="D551" s="40" t="n"/>
      <c r="E551" s="353" t="n"/>
      <c r="F551" s="353" t="n"/>
      <c r="G551" s="353" t="n"/>
      <c r="H551" s="628" t="n"/>
      <c r="I551" s="1344">
        <f>+I382/I522</f>
        <v/>
      </c>
      <c r="J551" s="1344">
        <f>+J382/J522</f>
        <v/>
      </c>
      <c r="K551" s="1344">
        <f>+K382/K522</f>
        <v/>
      </c>
      <c r="L551" s="1344">
        <f>+L382/L522</f>
        <v/>
      </c>
      <c r="M551" s="1344">
        <f>+M382/M522</f>
        <v/>
      </c>
      <c r="N551" s="1344">
        <f>+N382/N522</f>
        <v/>
      </c>
      <c r="P551" s="1292" t="n"/>
    </row>
    <row r="552" ht="15" customHeight="1">
      <c r="B552" s="40" t="n"/>
      <c r="C552" s="40" t="n"/>
      <c r="D552" s="40" t="n"/>
      <c r="E552" s="40" t="n"/>
      <c r="F552" s="40" t="n"/>
      <c r="H552" s="63" t="n"/>
      <c r="I552" s="40" t="n"/>
      <c r="J552" s="1292" t="n"/>
      <c r="K552" s="1292" t="n"/>
      <c r="L552" s="1292" t="n"/>
      <c r="M552" s="1292" t="n"/>
      <c r="N552" s="1292" t="n"/>
      <c r="P552" s="1292" t="n"/>
    </row>
    <row r="553" ht="15" customHeight="1">
      <c r="B553" s="40" t="inlineStr">
        <is>
          <t>Credit</t>
        </is>
      </c>
      <c r="C553" s="40" t="n"/>
      <c r="D553" s="40" t="n"/>
      <c r="E553" s="40" t="n"/>
      <c r="F553" s="40" t="n"/>
      <c r="H553" s="63" t="n"/>
      <c r="I553" s="40" t="n"/>
      <c r="J553" s="40" t="n"/>
      <c r="K553" s="40" t="n"/>
      <c r="L553" s="40" t="n"/>
      <c r="M553" s="40" t="n"/>
      <c r="N553" s="40" t="n"/>
      <c r="P553" s="40" t="n"/>
    </row>
    <row r="554" ht="15" customHeight="1">
      <c r="B554" s="183" t="inlineStr">
        <is>
          <t>Gross debt / EBITDA</t>
        </is>
      </c>
      <c r="C554" s="183" t="n"/>
      <c r="D554" s="183" t="n"/>
      <c r="E554" s="420" t="n"/>
      <c r="F554" s="420" t="n"/>
      <c r="G554" s="420" t="n"/>
      <c r="H554" s="627" t="n"/>
      <c r="I554" s="1350">
        <f>+IFERROR(I525/(I522/I518),"NM")</f>
        <v/>
      </c>
      <c r="J554" s="1351">
        <f>+IFERROR(J525/J522,"NM")</f>
        <v/>
      </c>
      <c r="K554" s="1351">
        <f>+IFERROR(K525/K522,"NM")</f>
        <v/>
      </c>
      <c r="L554" s="1351">
        <f>+IFERROR(L525/L522,"NM")</f>
        <v/>
      </c>
      <c r="M554" s="1351">
        <f>+IFERROR(M525/M522,"NM")</f>
        <v/>
      </c>
      <c r="N554" s="1351">
        <f>+IFERROR(N525/N522,"NM")</f>
        <v/>
      </c>
      <c r="P554" s="1352" t="n"/>
    </row>
    <row r="555" ht="15" customHeight="1">
      <c r="B555" s="9" t="inlineStr">
        <is>
          <t>Net debt / EBITDA</t>
        </is>
      </c>
      <c r="C555" s="9" t="n"/>
      <c r="D555" s="9" t="n"/>
      <c r="E555" s="353" t="n"/>
      <c r="F555" s="353" t="n"/>
      <c r="G555" s="353" t="n"/>
      <c r="H555" s="628" t="n"/>
      <c r="I555" s="1353">
        <f>+IFERROR(I526/(I522/I518),"NM")</f>
        <v/>
      </c>
      <c r="J555" s="1353">
        <f>+IFERROR(J526/J522,"NM")</f>
        <v/>
      </c>
      <c r="K555" s="1353">
        <f>+IFERROR(K526/K522,"NM")</f>
        <v/>
      </c>
      <c r="L555" s="1353">
        <f>+IFERROR(L526/L522,"NM")</f>
        <v/>
      </c>
      <c r="M555" s="1353">
        <f>+IFERROR(M526/M522,"NM")</f>
        <v/>
      </c>
      <c r="N555" s="1353">
        <f>+IFERROR(N526/N522,"NM")</f>
        <v/>
      </c>
      <c r="P555" s="1353" t="n"/>
    </row>
    <row r="556" ht="15" customHeight="1">
      <c r="B556" s="9" t="inlineStr">
        <is>
          <t>EBITDA / cash interest</t>
        </is>
      </c>
      <c r="C556" s="9" t="n"/>
      <c r="D556" s="9" t="n"/>
      <c r="E556" s="353" t="n"/>
      <c r="F556" s="353" t="n"/>
      <c r="G556" s="353" t="n"/>
      <c r="H556" s="628" t="n"/>
      <c r="I556" s="1353">
        <f>+IFERROR(I522/(I527),"NM")</f>
        <v/>
      </c>
      <c r="J556" s="1353">
        <f>+IFERROR(J522/(J527),"NM")</f>
        <v/>
      </c>
      <c r="K556" s="1353">
        <f>+IFERROR(K522/(K527),"NM")</f>
        <v/>
      </c>
      <c r="L556" s="1353">
        <f>+IFERROR(L522/(L527),"NM")</f>
        <v/>
      </c>
      <c r="M556" s="1353">
        <f>+IFERROR(M522/(M527),"NM")</f>
        <v/>
      </c>
      <c r="N556" s="1353">
        <f>+IFERROR(N522/(N527),"NM")</f>
        <v/>
      </c>
      <c r="P556" s="1353" t="n"/>
    </row>
    <row r="557" ht="15" customHeight="1">
      <c r="B557" s="9" t="inlineStr">
        <is>
          <t>EBITDA-M.capex / cash interest</t>
        </is>
      </c>
      <c r="C557" s="9" t="n"/>
      <c r="D557" s="9" t="n"/>
      <c r="E557" s="353" t="n"/>
      <c r="F557" s="353" t="n"/>
      <c r="G557" s="353" t="n"/>
      <c r="H557" s="628" t="n"/>
      <c r="I557" s="1353">
        <f>+IFERROR(I523/(I527),"NM")</f>
        <v/>
      </c>
      <c r="J557" s="1353">
        <f>+IFERROR(J523/(J527),"NM")</f>
        <v/>
      </c>
      <c r="K557" s="1353">
        <f>+IFERROR(K523/(K527),"NM")</f>
        <v/>
      </c>
      <c r="L557" s="1353">
        <f>+IFERROR(L523/(L527),"NM")</f>
        <v/>
      </c>
      <c r="M557" s="1353">
        <f>+IFERROR(M523/(M527),"NM")</f>
        <v/>
      </c>
      <c r="N557" s="1353">
        <f>+IFERROR(N523/(N527),"NM")</f>
        <v/>
      </c>
      <c r="P557" s="1353" t="n"/>
    </row>
    <row r="558" ht="15" customHeight="1">
      <c r="B558" s="9" t="inlineStr">
        <is>
          <t>% debt repaid</t>
        </is>
      </c>
      <c r="C558" s="9" t="n"/>
      <c r="D558" s="9" t="n"/>
      <c r="E558" s="353" t="n"/>
      <c r="F558" s="353" t="n"/>
      <c r="G558" s="353" t="n"/>
      <c r="H558" s="628" t="n"/>
      <c r="I558" s="1354">
        <f>IFERROR(1-(I525/$H525),"NM")</f>
        <v/>
      </c>
      <c r="J558" s="1354">
        <f>IFERROR(1-(J525/$H525),"NM")</f>
        <v/>
      </c>
      <c r="K558" s="1354">
        <f>IFERROR(1-(K525/$H525),"NM")</f>
        <v/>
      </c>
      <c r="L558" s="1354">
        <f>IFERROR(1-(L525/$H525),"NM")</f>
        <v/>
      </c>
      <c r="M558" s="1354">
        <f>IFERROR(1-(M525/$H525),"NM")</f>
        <v/>
      </c>
      <c r="N558" s="1354">
        <f>IFERROR(1-(N525/$H525),"NM")</f>
        <v/>
      </c>
      <c r="P558" s="1300" t="n"/>
    </row>
    <row r="559" ht="15" customHeight="1">
      <c r="B559" s="9" t="inlineStr">
        <is>
          <t>Debt service coverage ratio</t>
        </is>
      </c>
      <c r="C559" s="9" t="n"/>
      <c r="D559" s="9" t="n"/>
      <c r="E559" s="353" t="n"/>
      <c r="F559" s="353" t="n"/>
      <c r="G559" s="353" t="n"/>
      <c r="H559" s="628" t="n"/>
      <c r="I559" s="1353">
        <f>+IFERROR(I528/-I529,"NM")</f>
        <v/>
      </c>
      <c r="J559" s="1353">
        <f>+IFERROR(J528/-J529,"NM")</f>
        <v/>
      </c>
      <c r="K559" s="1353">
        <f>+IFERROR(K528/-K529,"NM")</f>
        <v/>
      </c>
      <c r="L559" s="1353">
        <f>+IFERROR(L528/-L529,"NM")</f>
        <v/>
      </c>
      <c r="M559" s="1353">
        <f>+IFERROR(M528/-M529,"NM")</f>
        <v/>
      </c>
      <c r="N559" s="1353">
        <f>+IFERROR(N528/-N529,"NM")</f>
        <v/>
      </c>
      <c r="P559" s="1353" t="n"/>
    </row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>
      <c r="B570" s="175" t="n"/>
      <c r="C570" s="175" t="n"/>
      <c r="D570" s="175" t="n"/>
      <c r="E570" s="175" t="n"/>
      <c r="F570" s="175" t="n"/>
      <c r="G570" s="175" t="n"/>
      <c r="H570" s="175" t="n"/>
    </row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>
      <c r="Q578" s="175" t="n"/>
      <c r="R578" s="175" t="n"/>
      <c r="S578" s="175" t="n"/>
      <c r="T578" s="175" t="n"/>
      <c r="U578" s="175" t="n"/>
      <c r="V578" s="175" t="n"/>
      <c r="W578" s="175" t="n"/>
      <c r="X578" s="175" t="n"/>
      <c r="Y578" s="175" t="n"/>
    </row>
    <row r="579" ht="15" customHeight="1">
      <c r="Q579" s="175" t="n"/>
      <c r="R579" s="175" t="n"/>
      <c r="S579" s="175" t="n"/>
      <c r="T579" s="175" t="n"/>
      <c r="U579" s="175" t="n"/>
      <c r="V579" s="175" t="n"/>
      <c r="W579" s="175" t="n"/>
      <c r="X579" s="175" t="n"/>
      <c r="Y579" s="175" t="n"/>
    </row>
    <row r="580" ht="15" customHeight="1">
      <c r="Q580" s="175" t="n"/>
      <c r="R580" s="175" t="n"/>
      <c r="S580" s="175" t="n"/>
      <c r="T580" s="175" t="n"/>
      <c r="U580" s="175" t="n"/>
      <c r="V580" s="175" t="n"/>
      <c r="W580" s="175" t="n"/>
      <c r="X580" s="175" t="n"/>
      <c r="Y580" s="175" t="n"/>
    </row>
    <row r="581" ht="15" customHeight="1">
      <c r="Q581" s="175" t="n"/>
      <c r="R581" s="175" t="n"/>
      <c r="S581" s="175" t="n"/>
      <c r="T581" s="175" t="n"/>
      <c r="U581" s="175" t="n"/>
      <c r="V581" s="175" t="n"/>
      <c r="W581" s="175" t="n"/>
      <c r="X581" s="175" t="n"/>
      <c r="Y581" s="175" t="n"/>
    </row>
    <row r="582" ht="15" customHeight="1">
      <c r="Q582" s="175" t="n"/>
      <c r="R582" s="175" t="n"/>
      <c r="S582" s="175" t="n"/>
      <c r="T582" s="175" t="n"/>
      <c r="U582" s="175" t="n"/>
      <c r="V582" s="175" t="n"/>
      <c r="W582" s="175" t="n"/>
      <c r="X582" s="175" t="n"/>
      <c r="Y582" s="175" t="n"/>
    </row>
    <row r="583" ht="15" customHeight="1">
      <c r="Q583" s="175" t="n"/>
      <c r="R583" s="175" t="n"/>
      <c r="S583" s="175" t="n"/>
      <c r="T583" s="175" t="n"/>
      <c r="U583" s="175" t="n"/>
      <c r="V583" s="175" t="n"/>
      <c r="W583" s="175" t="n"/>
      <c r="X583" s="175" t="n"/>
      <c r="Y583" s="175" t="n"/>
    </row>
    <row r="584" ht="15" customHeight="1">
      <c r="Q584" s="175" t="n"/>
      <c r="R584" s="175" t="n"/>
      <c r="S584" s="175" t="n"/>
      <c r="T584" s="175" t="n"/>
      <c r="U584" s="175" t="n"/>
      <c r="V584" s="175" t="n"/>
      <c r="W584" s="175" t="n"/>
      <c r="X584" s="175" t="n"/>
      <c r="Y584" s="175" t="n"/>
    </row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</sheetData>
  <dataValidations count="4">
    <dataValidation sqref="E468" showDropDown="0" showInputMessage="1" showErrorMessage="1" allowBlank="1" type="list">
      <formula1>$I$452:$N$452</formula1>
    </dataValidation>
    <dataValidation sqref="E22 L23" showDropDown="0" showInputMessage="1" showErrorMessage="1" allowBlank="1" type="list">
      <formula1>$U$22:$U$23</formula1>
    </dataValidation>
    <dataValidation sqref="G7" showDropDown="0" showInputMessage="1" showErrorMessage="1" allowBlank="1" type="list">
      <formula1>"Yes, No"</formula1>
    </dataValidation>
    <dataValidation sqref="G6" showDropDown="0" showInputMessage="1" showErrorMessage="1" allowBlank="1" type="list">
      <formula1>"Low, Base, Upside"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5" fitToHeight="3"/>
  <rowBreaks count="3" manualBreakCount="3">
    <brk id="153" min="0" max="19" man="1"/>
    <brk id="250" min="0" max="19" man="1"/>
    <brk id="346" min="0" max="19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82"/>
  <sheetViews>
    <sheetView showGridLines="0" topLeftCell="A16" zoomScale="80" zoomScaleNormal="80" workbookViewId="0">
      <selection activeCell="F45" sqref="F45:J48"/>
    </sheetView>
  </sheetViews>
  <sheetFormatPr baseColWidth="8" defaultRowHeight="15"/>
  <cols>
    <col width="23.5703125" bestFit="1" customWidth="1" min="3" max="3"/>
    <col width="12.7109375" customWidth="1" min="4" max="9"/>
    <col width="27.7109375" customWidth="1" min="11" max="11"/>
    <col width="12.7109375" customWidth="1" min="12" max="16"/>
    <col width="13.85546875" customWidth="1" min="19" max="19"/>
  </cols>
  <sheetData>
    <row r="2">
      <c r="B2" s="790" t="n">
        <v>1</v>
      </c>
      <c r="C2" s="849" t="inlineStr">
        <is>
          <t>Summary of returns</t>
        </is>
      </c>
      <c r="D2" s="849" t="n"/>
      <c r="E2" s="849" t="n"/>
      <c r="F2" s="849" t="n"/>
      <c r="G2" s="849" t="n"/>
      <c r="H2" s="849" t="n"/>
      <c r="I2" s="849" t="n"/>
      <c r="J2" s="849" t="n"/>
      <c r="K2" s="849" t="n"/>
      <c r="L2" s="849" t="n"/>
      <c r="M2" s="849" t="n"/>
      <c r="N2" s="849" t="n"/>
      <c r="O2" s="849" t="n"/>
      <c r="P2" s="849" t="n"/>
      <c r="Q2" s="849" t="n"/>
    </row>
    <row r="4">
      <c r="C4" s="789" t="inlineStr">
        <is>
          <t>P&amp;L Forecast</t>
        </is>
      </c>
      <c r="D4" s="789" t="n"/>
      <c r="E4" s="789" t="n"/>
      <c r="F4" s="789" t="n"/>
      <c r="G4" s="789" t="n"/>
      <c r="H4" s="789" t="n"/>
      <c r="I4" s="789" t="n"/>
      <c r="K4" s="789" t="inlineStr">
        <is>
          <t>Returns</t>
        </is>
      </c>
      <c r="L4" s="789" t="n"/>
      <c r="M4" s="789" t="n"/>
      <c r="N4" s="789" t="n"/>
      <c r="O4" s="789" t="n"/>
      <c r="P4" s="789" t="n"/>
      <c r="Q4" s="683" t="n"/>
    </row>
    <row r="6">
      <c r="C6" s="813" t="inlineStr">
        <is>
          <t>£m</t>
        </is>
      </c>
      <c r="D6" s="814" t="inlineStr">
        <is>
          <t>FY25O</t>
        </is>
      </c>
      <c r="E6" s="814" t="inlineStr">
        <is>
          <t>FY26F</t>
        </is>
      </c>
      <c r="F6" s="814" t="inlineStr">
        <is>
          <t>FY27F</t>
        </is>
      </c>
      <c r="G6" s="814" t="inlineStr">
        <is>
          <t>FY28F</t>
        </is>
      </c>
      <c r="H6" s="814" t="inlineStr">
        <is>
          <t>FY29F</t>
        </is>
      </c>
      <c r="I6" s="814" t="inlineStr">
        <is>
          <t>FY30F</t>
        </is>
      </c>
      <c r="K6" s="819" t="inlineStr">
        <is>
          <t>£m</t>
        </is>
      </c>
      <c r="L6" s="820" t="inlineStr">
        <is>
          <t>FY26</t>
        </is>
      </c>
      <c r="M6" s="814" t="inlineStr">
        <is>
          <t>FY27</t>
        </is>
      </c>
      <c r="N6" s="814" t="inlineStr">
        <is>
          <t>FY28</t>
        </is>
      </c>
      <c r="O6" s="814" t="inlineStr">
        <is>
          <t>FY29</t>
        </is>
      </c>
      <c r="P6" s="814" t="inlineStr">
        <is>
          <t>FY30</t>
        </is>
      </c>
    </row>
    <row r="7">
      <c r="C7" s="815" t="inlineStr">
        <is>
          <t>Core Revenue</t>
        </is>
      </c>
      <c r="D7" s="1355">
        <f>LBO!H159</f>
        <v/>
      </c>
      <c r="E7" s="1355">
        <f>LBO!J159</f>
        <v/>
      </c>
      <c r="F7" s="1355">
        <f>LBO!K159</f>
        <v/>
      </c>
      <c r="G7" s="1355">
        <f>LBO!L159</f>
        <v/>
      </c>
      <c r="H7" s="1355">
        <f>LBO!M159</f>
        <v/>
      </c>
      <c r="I7" s="1355">
        <f>LBO!N159</f>
        <v/>
      </c>
      <c r="K7" s="821" t="inlineStr">
        <is>
          <t>Exit EBITDA</t>
        </is>
      </c>
      <c r="L7" s="1355">
        <f>LBO!J355</f>
        <v/>
      </c>
      <c r="M7" s="1355">
        <f>LBO!K355</f>
        <v/>
      </c>
      <c r="N7" s="1355">
        <f>LBO!L355</f>
        <v/>
      </c>
      <c r="O7" s="1355">
        <f>LBO!M355</f>
        <v/>
      </c>
      <c r="P7" s="1355">
        <f>LBO!N355</f>
        <v/>
      </c>
    </row>
    <row r="8">
      <c r="C8" s="816" t="inlineStr">
        <is>
          <t>Growth</t>
        </is>
      </c>
      <c r="D8" s="817" t="n"/>
      <c r="E8" s="1356">
        <f>E7/D7-1</f>
        <v/>
      </c>
      <c r="F8" s="1356">
        <f>F7/E7-1</f>
        <v/>
      </c>
      <c r="G8" s="1356">
        <f>G7/F7-1</f>
        <v/>
      </c>
      <c r="H8" s="1356">
        <f>H7/G7-1</f>
        <v/>
      </c>
      <c r="I8" s="1356">
        <f>I7/H7-1</f>
        <v/>
      </c>
      <c r="K8" s="822" t="inlineStr">
        <is>
          <t>Exit Multiple</t>
        </is>
      </c>
      <c r="L8" s="1357">
        <f>LBO!J356</f>
        <v/>
      </c>
      <c r="M8" s="1357">
        <f>LBO!K356</f>
        <v/>
      </c>
      <c r="N8" s="1357">
        <f>LBO!L356</f>
        <v/>
      </c>
      <c r="O8" s="1357">
        <f>LBO!M356</f>
        <v/>
      </c>
      <c r="P8" s="1357">
        <f>LBO!N356</f>
        <v/>
      </c>
    </row>
    <row r="9">
      <c r="C9" s="818" t="inlineStr">
        <is>
          <t>M&amp;A revenue</t>
        </is>
      </c>
      <c r="D9" s="1355">
        <f>LBO!H161</f>
        <v/>
      </c>
      <c r="E9" s="1355">
        <f>LBO!J161</f>
        <v/>
      </c>
      <c r="F9" s="1355">
        <f>LBO!K161</f>
        <v/>
      </c>
      <c r="G9" s="1355">
        <f>LBO!L161</f>
        <v/>
      </c>
      <c r="H9" s="1355">
        <f>LBO!M161</f>
        <v/>
      </c>
      <c r="I9" s="1355">
        <f>LBO!N161</f>
        <v/>
      </c>
      <c r="K9" s="905" t="inlineStr">
        <is>
          <t>Exit EV</t>
        </is>
      </c>
      <c r="L9" s="1358">
        <f>LBO!J357</f>
        <v/>
      </c>
      <c r="M9" s="1358">
        <f>LBO!K357</f>
        <v/>
      </c>
      <c r="N9" s="1358">
        <f>LBO!L357</f>
        <v/>
      </c>
      <c r="O9" s="1358">
        <f>LBO!M357</f>
        <v/>
      </c>
      <c r="P9" s="1358">
        <f>LBO!N357</f>
        <v/>
      </c>
      <c r="Q9" s="1359" t="n"/>
    </row>
    <row r="10">
      <c r="C10" s="905" t="inlineStr">
        <is>
          <t>Total revenue</t>
        </is>
      </c>
      <c r="D10" s="1358">
        <f>LBO!H162</f>
        <v/>
      </c>
      <c r="E10" s="1358">
        <f>LBO!J162</f>
        <v/>
      </c>
      <c r="F10" s="1358">
        <f>LBO!K162</f>
        <v/>
      </c>
      <c r="G10" s="1358">
        <f>LBO!L162</f>
        <v/>
      </c>
      <c r="H10" s="1358">
        <f>LBO!M162</f>
        <v/>
      </c>
      <c r="I10" s="1358">
        <f>LBO!N162</f>
        <v/>
      </c>
      <c r="K10" s="823" t="inlineStr">
        <is>
          <t>Net debt (excl. EO)</t>
        </is>
      </c>
      <c r="L10" s="1355">
        <f>LBO!J358</f>
        <v/>
      </c>
      <c r="M10" s="1355">
        <f>LBO!K358</f>
        <v/>
      </c>
      <c r="N10" s="1355">
        <f>LBO!L358</f>
        <v/>
      </c>
      <c r="O10" s="1355">
        <f>LBO!M358</f>
        <v/>
      </c>
      <c r="P10" s="1355">
        <f>LBO!N358</f>
        <v/>
      </c>
    </row>
    <row r="11">
      <c r="C11" s="816" t="inlineStr">
        <is>
          <t>Growth %</t>
        </is>
      </c>
      <c r="D11" s="817" t="n"/>
      <c r="E11" s="1356">
        <f>E10/D10-1</f>
        <v/>
      </c>
      <c r="F11" s="1356">
        <f>F10/E10-1</f>
        <v/>
      </c>
      <c r="G11" s="1356">
        <f>G10/F10-1</f>
        <v/>
      </c>
      <c r="H11" s="1356">
        <f>H10/G10-1</f>
        <v/>
      </c>
      <c r="I11" s="1356">
        <f>I10/H10-1</f>
        <v/>
      </c>
      <c r="K11" s="823" t="inlineStr">
        <is>
          <t>Earnout Liability</t>
        </is>
      </c>
      <c r="L11" s="1355">
        <f>LBO!J359</f>
        <v/>
      </c>
      <c r="M11" s="1355">
        <f>LBO!K359</f>
        <v/>
      </c>
      <c r="N11" s="1355">
        <f>LBO!L359</f>
        <v/>
      </c>
      <c r="O11" s="1355">
        <f>LBO!M359</f>
        <v/>
      </c>
      <c r="P11" s="1355">
        <f>LBO!N359</f>
        <v/>
      </c>
    </row>
    <row r="12">
      <c r="C12" s="830" t="n"/>
      <c r="D12" s="830" t="n"/>
      <c r="E12" s="830" t="n"/>
      <c r="F12" s="830" t="n"/>
      <c r="G12" s="830" t="n"/>
      <c r="H12" s="830" t="n"/>
      <c r="I12" s="830" t="n"/>
      <c r="K12" s="834" t="inlineStr">
        <is>
          <t>Deal fees</t>
        </is>
      </c>
      <c r="L12" s="1355">
        <f>LBO!J361</f>
        <v/>
      </c>
      <c r="M12" s="1355">
        <f>LBO!K361</f>
        <v/>
      </c>
      <c r="N12" s="1355">
        <f>LBO!L361</f>
        <v/>
      </c>
      <c r="O12" s="1355">
        <f>LBO!M361</f>
        <v/>
      </c>
      <c r="P12" s="1355">
        <f>LBO!N361</f>
        <v/>
      </c>
    </row>
    <row r="13">
      <c r="C13" s="815" t="inlineStr">
        <is>
          <t>COS</t>
        </is>
      </c>
      <c r="D13" s="1355">
        <f>SUM(LBO!H165:H166)</f>
        <v/>
      </c>
      <c r="E13" s="1355">
        <f>SUM(LBO!J165:J166)</f>
        <v/>
      </c>
      <c r="F13" s="1355">
        <f>SUM(LBO!K165:K166)</f>
        <v/>
      </c>
      <c r="G13" s="1355">
        <f>SUM(LBO!L165:L166)</f>
        <v/>
      </c>
      <c r="H13" s="1355">
        <f>SUM(LBO!M165:M166)</f>
        <v/>
      </c>
      <c r="I13" s="1355">
        <f>SUM(LBO!N165:N166)</f>
        <v/>
      </c>
      <c r="K13" s="905" t="inlineStr">
        <is>
          <t>Equity value</t>
        </is>
      </c>
      <c r="L13" s="1358">
        <f>LBO!J362</f>
        <v/>
      </c>
      <c r="M13" s="1358">
        <f>LBO!K362</f>
        <v/>
      </c>
      <c r="N13" s="1358">
        <f>LBO!L362</f>
        <v/>
      </c>
      <c r="O13" s="1358">
        <f>LBO!M362</f>
        <v/>
      </c>
      <c r="P13" s="1358">
        <f>LBO!N362</f>
        <v/>
      </c>
    </row>
    <row r="14">
      <c r="C14" s="905" t="inlineStr">
        <is>
          <t>Gross Profit</t>
        </is>
      </c>
      <c r="D14" s="1358">
        <f>LBO!H171</f>
        <v/>
      </c>
      <c r="E14" s="1358">
        <f>LBO!J171</f>
        <v/>
      </c>
      <c r="F14" s="1358">
        <f>LBO!K171</f>
        <v/>
      </c>
      <c r="G14" s="1358">
        <f>LBO!L171</f>
        <v/>
      </c>
      <c r="H14" s="1358">
        <f>LBO!M171</f>
        <v/>
      </c>
      <c r="I14" s="1358">
        <f>LBO!N171</f>
        <v/>
      </c>
      <c r="K14" s="826" t="n"/>
      <c r="L14" s="826" t="n"/>
      <c r="M14" s="826" t="n"/>
      <c r="N14" s="826" t="n"/>
      <c r="O14" s="826" t="n"/>
      <c r="P14" s="826" t="n"/>
    </row>
    <row r="15">
      <c r="C15" s="832" t="inlineStr">
        <is>
          <t>GM %</t>
        </is>
      </c>
      <c r="D15" s="1360">
        <f>D14/D10</f>
        <v/>
      </c>
      <c r="E15" s="1360">
        <f>E14/E10</f>
        <v/>
      </c>
      <c r="F15" s="1360">
        <f>F14/F10</f>
        <v/>
      </c>
      <c r="G15" s="1360">
        <f>G14/G10</f>
        <v/>
      </c>
      <c r="H15" s="1360">
        <f>H14/H10</f>
        <v/>
      </c>
      <c r="I15" s="1360">
        <f>I14/I10</f>
        <v/>
      </c>
      <c r="K15" s="833" t="inlineStr">
        <is>
          <t>Blixt returned Equity</t>
        </is>
      </c>
      <c r="L15" s="833" t="n"/>
      <c r="M15" s="826" t="n"/>
      <c r="N15" s="826" t="n"/>
      <c r="O15" s="826" t="n"/>
      <c r="P15" s="826" t="n"/>
    </row>
    <row r="16">
      <c r="C16" s="826" t="n"/>
      <c r="D16" s="826" t="n"/>
      <c r="E16" s="826" t="n"/>
      <c r="F16" s="826" t="n"/>
      <c r="G16" s="826" t="n"/>
      <c r="H16" s="826" t="n"/>
      <c r="I16" s="826" t="n"/>
      <c r="K16" s="831" t="inlineStr">
        <is>
          <t>Preference equity</t>
        </is>
      </c>
      <c r="L16" s="1355">
        <f>LBO!J383</f>
        <v/>
      </c>
      <c r="M16" s="1355">
        <f>LBO!K383</f>
        <v/>
      </c>
      <c r="N16" s="1355">
        <f>LBO!L383</f>
        <v/>
      </c>
      <c r="O16" s="1355">
        <f>LBO!M383</f>
        <v/>
      </c>
      <c r="P16" s="1355">
        <f>LBO!N383</f>
        <v/>
      </c>
    </row>
    <row r="17">
      <c r="C17" s="815" t="inlineStr">
        <is>
          <t>Overheads</t>
        </is>
      </c>
      <c r="D17" s="1355">
        <f>LBO!H174+LBO!H176</f>
        <v/>
      </c>
      <c r="E17" s="1355">
        <f>LBO!J174+LBO!J176</f>
        <v/>
      </c>
      <c r="F17" s="1355">
        <f>LBO!K174+LBO!K176</f>
        <v/>
      </c>
      <c r="G17" s="1355">
        <f>LBO!L174+LBO!L176</f>
        <v/>
      </c>
      <c r="H17" s="1355">
        <f>LBO!M174+LBO!M176</f>
        <v/>
      </c>
      <c r="I17" s="1355">
        <f>LBO!N174+LBO!N176</f>
        <v/>
      </c>
      <c r="K17" s="822" t="inlineStr">
        <is>
          <t>Ordinary equity</t>
        </is>
      </c>
      <c r="L17" s="1355">
        <f>LBO!J384</f>
        <v/>
      </c>
      <c r="M17" s="1355">
        <f>LBO!K384</f>
        <v/>
      </c>
      <c r="N17" s="1355">
        <f>LBO!L384</f>
        <v/>
      </c>
      <c r="O17" s="1355">
        <f>LBO!M384</f>
        <v/>
      </c>
      <c r="P17" s="1355">
        <f>LBO!N384</f>
        <v/>
      </c>
    </row>
    <row r="18">
      <c r="C18" s="905" t="inlineStr">
        <is>
          <t>Trading EBITDA</t>
        </is>
      </c>
      <c r="D18" s="1358">
        <f>SUM(D14,D17)</f>
        <v/>
      </c>
      <c r="E18" s="1358">
        <f>SUM(E14,E17)</f>
        <v/>
      </c>
      <c r="F18" s="1358">
        <f>SUM(F14,F17)</f>
        <v/>
      </c>
      <c r="G18" s="1358">
        <f>SUM(G14,G17)</f>
        <v/>
      </c>
      <c r="H18" s="1358">
        <f>SUM(H14,H17)</f>
        <v/>
      </c>
      <c r="I18" s="1358">
        <f>SUM(I14,I17)</f>
        <v/>
      </c>
      <c r="K18" s="824" t="inlineStr">
        <is>
          <t>Total equity returned</t>
        </is>
      </c>
      <c r="L18" s="1361">
        <f>LBO!J385</f>
        <v/>
      </c>
      <c r="M18" s="1362">
        <f>LBO!K385</f>
        <v/>
      </c>
      <c r="N18" s="1362">
        <f>LBO!L385</f>
        <v/>
      </c>
      <c r="O18" s="1362">
        <f>LBO!M385</f>
        <v/>
      </c>
      <c r="P18" s="1362">
        <f>LBO!N385</f>
        <v/>
      </c>
    </row>
    <row r="19">
      <c r="C19" s="816" t="inlineStr">
        <is>
          <t>EBITDA%</t>
        </is>
      </c>
      <c r="D19" s="1356">
        <f>D18/D10</f>
        <v/>
      </c>
      <c r="E19" s="1356">
        <f>E18/E10</f>
        <v/>
      </c>
      <c r="F19" s="1356">
        <f>F18/F10</f>
        <v/>
      </c>
      <c r="G19" s="1356">
        <f>G18/G10</f>
        <v/>
      </c>
      <c r="H19" s="1356">
        <f>H18/H10</f>
        <v/>
      </c>
      <c r="I19" s="1356">
        <f>I18/I10</f>
        <v/>
      </c>
      <c r="K19" s="823" t="inlineStr">
        <is>
          <t>Blixt exposure</t>
        </is>
      </c>
      <c r="L19" s="1355">
        <f>LBO!J382</f>
        <v/>
      </c>
      <c r="M19" s="1355">
        <f>LBO!K382</f>
        <v/>
      </c>
      <c r="N19" s="1355">
        <f>LBO!L382</f>
        <v/>
      </c>
      <c r="O19" s="1355">
        <f>LBO!M382</f>
        <v/>
      </c>
      <c r="P19" s="1355">
        <f>LBO!N382</f>
        <v/>
      </c>
    </row>
    <row r="20">
      <c r="C20" s="826" t="n"/>
      <c r="D20" s="826" t="n"/>
      <c r="E20" s="830" t="n"/>
      <c r="F20" s="830" t="n"/>
      <c r="G20" s="830" t="n"/>
      <c r="H20" s="830" t="n"/>
      <c r="I20" s="830" t="n"/>
      <c r="K20" s="825" t="inlineStr">
        <is>
          <t>Blixt returns</t>
        </is>
      </c>
      <c r="L20" s="1363" t="n"/>
      <c r="M20" s="1363" t="n"/>
      <c r="N20" s="1363" t="n"/>
      <c r="O20" s="1363" t="n"/>
      <c r="P20" s="1363" t="n"/>
    </row>
    <row r="21">
      <c r="C21" s="841" t="inlineStr">
        <is>
          <t>Central Costs</t>
        </is>
      </c>
      <c r="D21" s="1355">
        <f>LBO!H175</f>
        <v/>
      </c>
      <c r="E21" s="1355">
        <f>LBO!J175</f>
        <v/>
      </c>
      <c r="F21" s="1355">
        <f>LBO!K175</f>
        <v/>
      </c>
      <c r="G21" s="1355">
        <f>LBO!L175</f>
        <v/>
      </c>
      <c r="H21" s="1355">
        <f>LBO!M175</f>
        <v/>
      </c>
      <c r="I21" s="1355">
        <f>LBO!N175</f>
        <v/>
      </c>
      <c r="K21" s="831" t="inlineStr">
        <is>
          <t>Cap Gain</t>
        </is>
      </c>
      <c r="L21" s="1355">
        <f>LBO!J387</f>
        <v/>
      </c>
      <c r="M21" s="1355">
        <f>LBO!K387</f>
        <v/>
      </c>
      <c r="N21" s="1355">
        <f>LBO!L387</f>
        <v/>
      </c>
      <c r="O21" s="1355">
        <f>LBO!M387</f>
        <v/>
      </c>
      <c r="P21" s="1355">
        <f>LBO!N387</f>
        <v/>
      </c>
    </row>
    <row r="22">
      <c r="C22" s="905" t="inlineStr">
        <is>
          <t>Group EBITDA</t>
        </is>
      </c>
      <c r="D22" s="1358">
        <f>LBO!H181</f>
        <v/>
      </c>
      <c r="E22" s="1358">
        <f>LBO!J181</f>
        <v/>
      </c>
      <c r="F22" s="1358">
        <f>LBO!K181</f>
        <v/>
      </c>
      <c r="G22" s="1358">
        <f>LBO!L181</f>
        <v/>
      </c>
      <c r="H22" s="1358">
        <f>LBO!M181</f>
        <v/>
      </c>
      <c r="I22" s="1358">
        <f>LBO!N181</f>
        <v/>
      </c>
      <c r="K22" s="829" t="inlineStr">
        <is>
          <t>CoC</t>
        </is>
      </c>
      <c r="L22" s="1364">
        <f>LBO!J386</f>
        <v/>
      </c>
      <c r="M22" s="1364">
        <f>LBO!K386</f>
        <v/>
      </c>
      <c r="N22" s="1364">
        <f>LBO!L386</f>
        <v/>
      </c>
      <c r="O22" s="1364">
        <f>LBO!M386</f>
        <v/>
      </c>
      <c r="P22" s="1364">
        <f>LBO!N386</f>
        <v/>
      </c>
    </row>
    <row r="23">
      <c r="C23" s="816" t="inlineStr">
        <is>
          <t>EBITDA%</t>
        </is>
      </c>
      <c r="D23" s="1356">
        <f>D22/D10</f>
        <v/>
      </c>
      <c r="E23" s="1356">
        <f>E22/E10</f>
        <v/>
      </c>
      <c r="F23" s="1356">
        <f>F22/F10</f>
        <v/>
      </c>
      <c r="G23" s="1356">
        <f>G22/G10</f>
        <v/>
      </c>
      <c r="H23" s="1356">
        <f>H22/H10</f>
        <v/>
      </c>
      <c r="I23" s="1356">
        <f>I22/I10</f>
        <v/>
      </c>
      <c r="K23" s="827" t="n"/>
      <c r="L23" s="828" t="n"/>
      <c r="M23" s="826" t="n"/>
      <c r="N23" s="826" t="n"/>
      <c r="O23" s="826" t="n"/>
      <c r="P23" s="826" t="n"/>
    </row>
    <row r="24">
      <c r="C24" s="816" t="n"/>
      <c r="D24" s="817" t="n"/>
      <c r="E24" s="817" t="n"/>
      <c r="F24" s="817" t="n"/>
      <c r="G24" s="817" t="n"/>
      <c r="H24" s="817" t="n"/>
      <c r="I24" s="817" t="n"/>
      <c r="K24" s="823" t="inlineStr">
        <is>
          <t>IRR</t>
        </is>
      </c>
      <c r="L24" s="1365">
        <f>LBO!J388</f>
        <v/>
      </c>
      <c r="M24" s="1365">
        <f>LBO!K388</f>
        <v/>
      </c>
      <c r="N24" s="1365">
        <f>LBO!L388</f>
        <v/>
      </c>
      <c r="O24" s="1365">
        <f>LBO!M388</f>
        <v/>
      </c>
      <c r="P24" s="1365">
        <f>LBO!N388</f>
        <v/>
      </c>
    </row>
    <row r="25">
      <c r="C25" s="905" t="inlineStr">
        <is>
          <t>OCF</t>
        </is>
      </c>
      <c r="D25" s="1358">
        <f>LBO!H211</f>
        <v/>
      </c>
      <c r="E25" s="1358">
        <f>LBO!J211</f>
        <v/>
      </c>
      <c r="F25" s="1358">
        <f>LBO!K211</f>
        <v/>
      </c>
      <c r="G25" s="1358">
        <f>LBO!L211</f>
        <v/>
      </c>
      <c r="H25" s="1358">
        <f>LBO!M211</f>
        <v/>
      </c>
      <c r="I25" s="1358">
        <f>LBO!N211</f>
        <v/>
      </c>
    </row>
    <row r="26">
      <c r="C26" s="816" t="inlineStr">
        <is>
          <t>OCF Conversion  %</t>
        </is>
      </c>
      <c r="D26" s="1356">
        <f>D25/D22</f>
        <v/>
      </c>
      <c r="E26" s="1356">
        <f>E25/E22</f>
        <v/>
      </c>
      <c r="F26" s="1356">
        <f>F25/F22</f>
        <v/>
      </c>
      <c r="G26" s="1356">
        <f>G25/G22</f>
        <v/>
      </c>
      <c r="H26" s="1356">
        <f>H25/H22</f>
        <v/>
      </c>
      <c r="I26" s="1356">
        <f>I25/I22</f>
        <v/>
      </c>
    </row>
    <row r="27">
      <c r="C27" s="826" t="n"/>
      <c r="D27" s="826" t="n"/>
      <c r="E27" s="826" t="n"/>
      <c r="F27" s="826" t="n"/>
      <c r="G27" s="826" t="n"/>
      <c r="H27" s="826" t="n"/>
      <c r="I27" s="826" t="n"/>
    </row>
    <row r="28">
      <c r="C28" s="815" t="inlineStr">
        <is>
          <t>Capex</t>
        </is>
      </c>
      <c r="D28" s="1355">
        <f>LBO!H212</f>
        <v/>
      </c>
      <c r="E28" s="1355">
        <f>LBO!J212</f>
        <v/>
      </c>
      <c r="F28" s="1355">
        <f>LBO!K212</f>
        <v/>
      </c>
      <c r="G28" s="1355">
        <f>LBO!L212</f>
        <v/>
      </c>
      <c r="H28" s="1355">
        <f>LBO!M212</f>
        <v/>
      </c>
      <c r="I28" s="1355">
        <f>LBO!N212</f>
        <v/>
      </c>
    </row>
    <row r="29">
      <c r="C29" s="815" t="inlineStr">
        <is>
          <t>Interest</t>
        </is>
      </c>
      <c r="D29" s="1355" t="n"/>
      <c r="E29" s="1355">
        <f>LBO!J224</f>
        <v/>
      </c>
      <c r="F29" s="1355">
        <f>LBO!K224</f>
        <v/>
      </c>
      <c r="G29" s="1355">
        <f>LBO!L224</f>
        <v/>
      </c>
      <c r="H29" s="1355">
        <f>LBO!M224</f>
        <v/>
      </c>
      <c r="I29" s="1355">
        <f>LBO!N224</f>
        <v/>
      </c>
    </row>
    <row r="30">
      <c r="C30" s="815" t="inlineStr">
        <is>
          <t>Tax</t>
        </is>
      </c>
      <c r="D30" s="1355" t="n"/>
      <c r="E30" s="1355">
        <f>LBO!J217</f>
        <v/>
      </c>
      <c r="F30" s="1355">
        <f>LBO!K217</f>
        <v/>
      </c>
      <c r="G30" s="1355">
        <f>LBO!L217</f>
        <v/>
      </c>
      <c r="H30" s="1355">
        <f>LBO!M217</f>
        <v/>
      </c>
      <c r="I30" s="1355">
        <f>LBO!N217</f>
        <v/>
      </c>
    </row>
    <row r="31">
      <c r="C31" s="815" t="inlineStr">
        <is>
          <t>Earnouts (Core)</t>
        </is>
      </c>
      <c r="D31" s="1355" t="n"/>
      <c r="E31" s="1355">
        <f>LBO!J219</f>
        <v/>
      </c>
      <c r="F31" s="1355">
        <f>LBO!K219</f>
        <v/>
      </c>
      <c r="G31" s="1355">
        <f>LBO!L219</f>
        <v/>
      </c>
      <c r="H31" s="1355">
        <f>LBO!M219</f>
        <v/>
      </c>
      <c r="I31" s="1355">
        <f>LBO!N219</f>
        <v/>
      </c>
    </row>
    <row r="32">
      <c r="C32" s="905" t="inlineStr">
        <is>
          <t>FCF</t>
        </is>
      </c>
      <c r="D32" s="1358">
        <f>SUM(D25,D28:D31)</f>
        <v/>
      </c>
      <c r="E32" s="1358">
        <f>SUM(E25,E28:E31)</f>
        <v/>
      </c>
      <c r="F32" s="1358">
        <f>SUM(F25,F28:F31)</f>
        <v/>
      </c>
      <c r="G32" s="1358">
        <f>SUM(G25,G28:G31)</f>
        <v/>
      </c>
      <c r="H32" s="1358">
        <f>SUM(H25,H28:H31)</f>
        <v/>
      </c>
      <c r="I32" s="1358">
        <f>SUM(I25,I28:I31)</f>
        <v/>
      </c>
    </row>
    <row r="33">
      <c r="C33" s="816" t="inlineStr">
        <is>
          <t>FCF%</t>
        </is>
      </c>
      <c r="D33" s="1366">
        <f>D32/D22</f>
        <v/>
      </c>
      <c r="E33" s="1366">
        <f>E32/E22</f>
        <v/>
      </c>
      <c r="F33" s="1366">
        <f>F32/F22</f>
        <v/>
      </c>
      <c r="G33" s="1366">
        <f>G32/G22</f>
        <v/>
      </c>
      <c r="H33" s="1366">
        <f>H32/H22</f>
        <v/>
      </c>
      <c r="I33" s="1366">
        <f>I32/I22</f>
        <v/>
      </c>
    </row>
    <row r="34">
      <c r="C34" s="833" t="inlineStr">
        <is>
          <t>Gross leverage</t>
        </is>
      </c>
      <c r="D34" s="830" t="n"/>
      <c r="E34" s="1367">
        <f>LBO!I554</f>
        <v/>
      </c>
      <c r="F34" s="1367">
        <f>LBO!J554</f>
        <v/>
      </c>
      <c r="G34" s="1367">
        <f>LBO!K554</f>
        <v/>
      </c>
      <c r="H34" s="1367">
        <f>LBO!L554</f>
        <v/>
      </c>
      <c r="I34" s="1367">
        <f>LBO!M554</f>
        <v/>
      </c>
    </row>
    <row r="36">
      <c r="B36" s="790" t="n">
        <v>2</v>
      </c>
      <c r="C36" s="849" t="inlineStr">
        <is>
          <t>Returns scenarios</t>
        </is>
      </c>
      <c r="D36" s="849" t="n"/>
      <c r="E36" s="849" t="n"/>
      <c r="F36" s="849" t="n"/>
      <c r="G36" s="849" t="n"/>
      <c r="H36" s="849" t="n"/>
      <c r="I36" s="849" t="n"/>
      <c r="J36" s="849" t="n"/>
      <c r="K36" s="849" t="n"/>
      <c r="L36" s="849" t="n"/>
      <c r="M36" s="849" t="n"/>
      <c r="N36" s="849" t="n"/>
      <c r="O36" s="849" t="n"/>
      <c r="P36" s="849" t="n"/>
      <c r="Q36" s="849" t="n"/>
    </row>
    <row r="39" ht="23.25" customHeight="1">
      <c r="C39" s="873" t="n"/>
      <c r="D39" s="873" t="n"/>
      <c r="E39" s="874" t="inlineStr">
        <is>
          <t>Entry</t>
        </is>
      </c>
      <c r="F39" s="875" t="inlineStr">
        <is>
          <t>FY26</t>
        </is>
      </c>
      <c r="G39" s="876" t="inlineStr">
        <is>
          <t>FY27</t>
        </is>
      </c>
      <c r="H39" s="876" t="inlineStr">
        <is>
          <t>FY28</t>
        </is>
      </c>
      <c r="I39" s="876" t="inlineStr">
        <is>
          <t>FY29</t>
        </is>
      </c>
      <c r="J39" s="876" t="inlineStr">
        <is>
          <t>FY30</t>
        </is>
      </c>
    </row>
    <row r="40" ht="23.25" customHeight="1">
      <c r="C40" s="877" t="inlineStr">
        <is>
          <t>Revenue (£m)</t>
        </is>
      </c>
      <c r="D40" s="873" t="n"/>
      <c r="E40" s="1368">
        <f>LBO!H162</f>
        <v/>
      </c>
      <c r="F40" s="1369">
        <f>LBO!J162</f>
        <v/>
      </c>
      <c r="G40" s="1370">
        <f>LBO!K162</f>
        <v/>
      </c>
      <c r="H40" s="1370">
        <f>LBO!L162</f>
        <v/>
      </c>
      <c r="I40" s="1370">
        <f>LBO!M162</f>
        <v/>
      </c>
      <c r="J40" s="1370">
        <f>LBO!N162</f>
        <v/>
      </c>
    </row>
    <row r="41" ht="23.25" customHeight="1">
      <c r="C41" s="877" t="inlineStr">
        <is>
          <t>EBITDA (£m)</t>
        </is>
      </c>
      <c r="D41" s="873" t="n"/>
      <c r="E41" s="1368">
        <f>LBO!H181</f>
        <v/>
      </c>
      <c r="F41" s="1369">
        <f>LBO!J181</f>
        <v/>
      </c>
      <c r="G41" s="1370">
        <f>LBO!K181</f>
        <v/>
      </c>
      <c r="H41" s="1370">
        <f>LBO!L181</f>
        <v/>
      </c>
      <c r="I41" s="1370">
        <f>LBO!M181</f>
        <v/>
      </c>
      <c r="J41" s="1370">
        <f>LBO!N181</f>
        <v/>
      </c>
    </row>
    <row r="42" ht="23.25" customHeight="1">
      <c r="C42" s="877" t="inlineStr">
        <is>
          <t>EBITDA %</t>
        </is>
      </c>
      <c r="D42" s="873" t="n"/>
      <c r="E42" s="878">
        <f>E41/E40</f>
        <v/>
      </c>
      <c r="F42" s="879">
        <f>F41/F40</f>
        <v/>
      </c>
      <c r="G42" s="880">
        <f>G41/G40</f>
        <v/>
      </c>
      <c r="H42" s="880">
        <f>H41/H40</f>
        <v/>
      </c>
      <c r="I42" s="880">
        <f>I41/I40</f>
        <v/>
      </c>
      <c r="J42" s="880">
        <f>J41/J40</f>
        <v/>
      </c>
    </row>
    <row r="43" ht="23.25" customHeight="1">
      <c r="C43" s="873" t="n"/>
      <c r="D43" s="873" t="n"/>
      <c r="E43" s="881" t="n"/>
      <c r="F43" s="882" t="n"/>
      <c r="G43" s="883" t="n"/>
      <c r="H43" s="883" t="n"/>
      <c r="I43" s="883" t="n"/>
      <c r="J43" s="883" t="n"/>
    </row>
    <row r="44" ht="23.25" customHeight="1">
      <c r="C44" s="877" t="inlineStr">
        <is>
          <t>Blixt returns (£m)</t>
        </is>
      </c>
      <c r="D44" s="873" t="n"/>
      <c r="E44" s="874" t="inlineStr">
        <is>
          <t>Entry</t>
        </is>
      </c>
      <c r="F44" s="875" t="inlineStr">
        <is>
          <t>FY26</t>
        </is>
      </c>
      <c r="G44" s="876" t="inlineStr">
        <is>
          <t>FY27</t>
        </is>
      </c>
      <c r="H44" s="876" t="inlineStr">
        <is>
          <t>FY28</t>
        </is>
      </c>
      <c r="I44" s="876" t="inlineStr">
        <is>
          <t>FY29</t>
        </is>
      </c>
      <c r="J44" s="876" t="inlineStr">
        <is>
          <t>FY30</t>
        </is>
      </c>
    </row>
    <row r="45" ht="23.25" customHeight="1">
      <c r="C45" s="884" t="inlineStr">
        <is>
          <t>Equity</t>
        </is>
      </c>
      <c r="D45" s="885" t="n"/>
      <c r="E45" s="886" t="n"/>
      <c r="F45" s="1369">
        <f>LBO!J382</f>
        <v/>
      </c>
      <c r="G45" s="1370">
        <f>LBO!K382</f>
        <v/>
      </c>
      <c r="H45" s="1370">
        <f>LBO!L382</f>
        <v/>
      </c>
      <c r="I45" s="1370">
        <f>LBO!M382</f>
        <v/>
      </c>
      <c r="J45" s="1370">
        <f>LBO!N382</f>
        <v/>
      </c>
    </row>
    <row r="46" ht="23.25" customHeight="1">
      <c r="C46" s="887" t="inlineStr">
        <is>
          <t>CoC return</t>
        </is>
      </c>
      <c r="D46" s="887" t="n"/>
      <c r="E46" s="888" t="n"/>
      <c r="F46" s="1371">
        <f>LBO!J386</f>
        <v/>
      </c>
      <c r="G46" s="1372">
        <f>LBO!K386</f>
        <v/>
      </c>
      <c r="H46" s="1372">
        <f>LBO!L386</f>
        <v/>
      </c>
      <c r="I46" s="1372">
        <f>LBO!M386</f>
        <v/>
      </c>
      <c r="J46" s="1372">
        <f>LBO!N386</f>
        <v/>
      </c>
    </row>
    <row r="47" ht="23.25" customHeight="1">
      <c r="C47" s="877" t="inlineStr">
        <is>
          <t>Capital Gain</t>
        </is>
      </c>
      <c r="D47" s="873" t="n"/>
      <c r="E47" s="889" t="n"/>
      <c r="F47" s="1373">
        <f>LBO!J387</f>
        <v/>
      </c>
      <c r="G47" s="1374">
        <f>LBO!K387</f>
        <v/>
      </c>
      <c r="H47" s="1374">
        <f>LBO!L387</f>
        <v/>
      </c>
      <c r="I47" s="1374">
        <f>LBO!M387</f>
        <v/>
      </c>
      <c r="J47" s="1374">
        <f>LBO!N387</f>
        <v/>
      </c>
    </row>
    <row r="48" ht="23.25" customHeight="1">
      <c r="C48" s="877" t="inlineStr">
        <is>
          <t>IRR</t>
        </is>
      </c>
      <c r="D48" s="873" t="n"/>
      <c r="E48" s="889" t="n"/>
      <c r="F48" s="890">
        <f>LBO!J388</f>
        <v/>
      </c>
      <c r="G48" s="896">
        <f>LBO!K388</f>
        <v/>
      </c>
      <c r="H48" s="896">
        <f>LBO!L388</f>
        <v/>
      </c>
      <c r="I48" s="896">
        <f>LBO!M388</f>
        <v/>
      </c>
      <c r="J48" s="896">
        <f>LBO!N388</f>
        <v/>
      </c>
    </row>
    <row r="50">
      <c r="B50" s="790" t="n">
        <v>3</v>
      </c>
      <c r="C50" s="849" t="inlineStr">
        <is>
          <t>Historical P&amp;L and cashflow</t>
        </is>
      </c>
      <c r="D50" s="849" t="n"/>
      <c r="E50" s="849" t="n"/>
      <c r="F50" s="849" t="n"/>
      <c r="G50" s="849" t="n"/>
      <c r="H50" s="849" t="n"/>
      <c r="I50" s="849" t="n"/>
      <c r="J50" s="849" t="n"/>
      <c r="K50" s="849" t="n"/>
      <c r="L50" s="849" t="n"/>
      <c r="M50" s="849" t="n"/>
      <c r="N50" s="849" t="n"/>
      <c r="O50" s="849" t="n"/>
      <c r="P50" s="849" t="n"/>
      <c r="Q50" s="849" t="n"/>
    </row>
    <row r="53" ht="30" customHeight="1">
      <c r="D53" s="814" t="inlineStr">
        <is>
          <t>FY22</t>
        </is>
      </c>
      <c r="E53" s="814" t="inlineStr">
        <is>
          <t>FY23</t>
        </is>
      </c>
      <c r="F53" s="814" t="inlineStr">
        <is>
          <t>FY24</t>
        </is>
      </c>
      <c r="G53" s="814" t="inlineStr">
        <is>
          <t>FY25</t>
        </is>
      </c>
      <c r="H53" s="814" t="inlineStr">
        <is>
          <t>Mar-26 LTM</t>
        </is>
      </c>
      <c r="I53" s="850" t="n"/>
      <c r="N53" s="814" t="inlineStr">
        <is>
          <t>FY22</t>
        </is>
      </c>
      <c r="O53" s="814" t="inlineStr">
        <is>
          <t>FY23</t>
        </is>
      </c>
      <c r="P53" s="814" t="inlineStr">
        <is>
          <t>FY24</t>
        </is>
      </c>
      <c r="Q53" s="814" t="inlineStr">
        <is>
          <t>FY25</t>
        </is>
      </c>
      <c r="R53" s="814" t="inlineStr">
        <is>
          <t>Mar-26 LTM</t>
        </is>
      </c>
      <c r="S53" s="1020" t="inlineStr">
        <is>
          <t>FY22-25 CAGR</t>
        </is>
      </c>
    </row>
    <row r="54">
      <c r="C54" t="inlineStr">
        <is>
          <t>eBlast</t>
        </is>
      </c>
      <c r="D54" s="1375">
        <f>'Consol P&amp;L'!P8</f>
        <v/>
      </c>
      <c r="E54" s="1375">
        <f>'Consol P&amp;L'!AC8</f>
        <v/>
      </c>
      <c r="F54" s="1375">
        <f>'Consol P&amp;L'!AP8</f>
        <v/>
      </c>
      <c r="G54" s="1375">
        <f>'Dec-25 LTM_P&amp;L'!E12</f>
        <v/>
      </c>
      <c r="H54" s="852" t="n"/>
      <c r="M54" t="inlineStr">
        <is>
          <t>eBlast</t>
        </is>
      </c>
      <c r="N54" s="1376">
        <f>D54</f>
        <v/>
      </c>
      <c r="O54" s="1376">
        <f>E54</f>
        <v/>
      </c>
      <c r="P54" s="1376">
        <f>F54</f>
        <v/>
      </c>
      <c r="Q54" s="1376">
        <f>G54</f>
        <v/>
      </c>
      <c r="R54" s="1376">
        <f>H54</f>
        <v/>
      </c>
      <c r="S54" s="1017">
        <f>RATE(3,,-N54,Q54)</f>
        <v/>
      </c>
    </row>
    <row r="55">
      <c r="C55" t="inlineStr">
        <is>
          <t>eTest</t>
        </is>
      </c>
      <c r="D55" s="1375">
        <f>'Consol P&amp;L'!P9</f>
        <v/>
      </c>
      <c r="E55" s="1375">
        <f>'Consol P&amp;L'!AC9</f>
        <v/>
      </c>
      <c r="F55" s="1375">
        <f>'Consol P&amp;L'!AP9</f>
        <v/>
      </c>
      <c r="G55" s="1375">
        <f>'Dec-25 LTM_P&amp;L'!G12</f>
        <v/>
      </c>
      <c r="H55" s="852" t="n"/>
      <c r="M55" t="inlineStr">
        <is>
          <t>eTest</t>
        </is>
      </c>
      <c r="N55" s="1376">
        <f>D55</f>
        <v/>
      </c>
      <c r="O55" s="1376">
        <f>E55</f>
        <v/>
      </c>
      <c r="P55" s="1376">
        <f>F55</f>
        <v/>
      </c>
      <c r="Q55" s="1376">
        <f>G55</f>
        <v/>
      </c>
      <c r="R55" s="1376">
        <f>H55</f>
        <v/>
      </c>
      <c r="S55" s="1017">
        <f>RATE(3,,-N55,Q55)</f>
        <v/>
      </c>
    </row>
    <row r="56">
      <c r="C56" t="inlineStr">
        <is>
          <t>Other</t>
        </is>
      </c>
      <c r="D56" s="1375">
        <f>D57-SUM(D54:D55)</f>
        <v/>
      </c>
      <c r="E56" s="1375">
        <f>E57-SUM(E54:E55)</f>
        <v/>
      </c>
      <c r="F56" s="1375">
        <f>F57-SUM(F54:F55)</f>
        <v/>
      </c>
      <c r="G56" s="1377">
        <f>G57-SUM(G54:G55)</f>
        <v/>
      </c>
      <c r="H56" s="852" t="n"/>
      <c r="M56" s="1018" t="inlineStr">
        <is>
          <t>Other</t>
        </is>
      </c>
      <c r="N56" s="1378">
        <f>D56</f>
        <v/>
      </c>
      <c r="O56" s="1378">
        <f>E56</f>
        <v/>
      </c>
      <c r="P56" s="1378">
        <f>F56</f>
        <v/>
      </c>
      <c r="Q56" s="1378">
        <f>G56</f>
        <v/>
      </c>
      <c r="R56" s="1378">
        <f>H56</f>
        <v/>
      </c>
      <c r="S56" s="1024" t="n"/>
    </row>
    <row r="57">
      <c r="C57" s="851" t="inlineStr">
        <is>
          <t>Total Sales</t>
        </is>
      </c>
      <c r="D57" s="1379">
        <f>'Consol P&amp;L'!P15</f>
        <v/>
      </c>
      <c r="E57" s="1379">
        <f>'Consol P&amp;L'!AC15</f>
        <v/>
      </c>
      <c r="F57" s="1379">
        <f>'Consol P&amp;L'!AP15</f>
        <v/>
      </c>
      <c r="G57" s="1379">
        <f>'Dec-25 LTM_P&amp;L'!J12</f>
        <v/>
      </c>
      <c r="H57" s="1379">
        <f>PA!H4</f>
        <v/>
      </c>
      <c r="J57" s="802">
        <f>RATE(3,,-D57,G57)</f>
        <v/>
      </c>
      <c r="M57" s="851" t="inlineStr">
        <is>
          <t>Total Sales</t>
        </is>
      </c>
      <c r="N57" s="1379">
        <f>D57</f>
        <v/>
      </c>
      <c r="O57" s="1379">
        <f>E57</f>
        <v/>
      </c>
      <c r="P57" s="1379">
        <f>F57</f>
        <v/>
      </c>
      <c r="Q57" s="1379">
        <f>G57</f>
        <v/>
      </c>
      <c r="R57" s="1379">
        <f>H57</f>
        <v/>
      </c>
      <c r="S57" s="1021">
        <f>RATE(3,,-N57,Q57)</f>
        <v/>
      </c>
    </row>
    <row r="58">
      <c r="C58" t="inlineStr">
        <is>
          <t>eBlast</t>
        </is>
      </c>
      <c r="D58" s="1375">
        <f>'Consol P&amp;L'!P18+'Consol P&amp;L'!P28</f>
        <v/>
      </c>
      <c r="E58" s="1375">
        <f>'Consol P&amp;L'!AC18+'Consol P&amp;L'!AC28</f>
        <v/>
      </c>
      <c r="F58" s="1375">
        <f>'Consol P&amp;L'!AP18+'Consol P&amp;L'!AP28</f>
        <v/>
      </c>
      <c r="G58" s="1375">
        <f>'Dec-25 LTM_P&amp;L'!E18</f>
        <v/>
      </c>
      <c r="H58" s="852" t="n"/>
      <c r="M58" s="768" t="inlineStr">
        <is>
          <t>Growth (annual)</t>
        </is>
      </c>
      <c r="N58" s="768" t="n"/>
      <c r="O58" s="1017">
        <f>O57/N57-1</f>
        <v/>
      </c>
      <c r="P58" s="1017">
        <f>P57/O57-1</f>
        <v/>
      </c>
      <c r="Q58" s="1017">
        <f>Q57/P57-1</f>
        <v/>
      </c>
      <c r="R58" s="1017">
        <f>(R57/Q57-1)*4</f>
        <v/>
      </c>
      <c r="S58" s="768" t="n"/>
    </row>
    <row r="59">
      <c r="C59" t="inlineStr">
        <is>
          <t>eTest</t>
        </is>
      </c>
      <c r="D59" s="1375">
        <f>'Consol P&amp;L'!P19+'Consol P&amp;L'!P29</f>
        <v/>
      </c>
      <c r="E59" s="1375">
        <f>'Consol P&amp;L'!AC19+'Consol P&amp;L'!AC29</f>
        <v/>
      </c>
      <c r="F59" s="1375">
        <f>'Consol P&amp;L'!AP19+'Consol P&amp;L'!AP29</f>
        <v/>
      </c>
      <c r="G59" s="1375">
        <f>'Dec-25 LTM_P&amp;L'!G18</f>
        <v/>
      </c>
      <c r="H59" s="852" t="n"/>
      <c r="S59" s="768" t="n"/>
    </row>
    <row r="60">
      <c r="C60" t="inlineStr">
        <is>
          <t>Other</t>
        </is>
      </c>
      <c r="D60" s="1375">
        <f>D61-SUM(D58:D59)</f>
        <v/>
      </c>
      <c r="E60" s="1375">
        <f>E61-SUM(E58:E59)</f>
        <v/>
      </c>
      <c r="F60" s="1375">
        <f>F61-SUM(F58:F59)</f>
        <v/>
      </c>
      <c r="G60" s="1375">
        <f>G61-SUM(G58:G59)</f>
        <v/>
      </c>
      <c r="H60" s="852" t="n"/>
      <c r="S60" s="768" t="n"/>
    </row>
    <row r="61">
      <c r="C61" s="851" t="inlineStr">
        <is>
          <t>Total direct costs</t>
        </is>
      </c>
      <c r="D61" s="1379">
        <f>'Consol P&amp;L'!P25+'Consol P&amp;L'!P35</f>
        <v/>
      </c>
      <c r="E61" s="1379">
        <f>'Consol P&amp;L'!AC25+'Consol P&amp;L'!AC35</f>
        <v/>
      </c>
      <c r="F61" s="1379">
        <f>'Consol P&amp;L'!AP25+'Consol P&amp;L'!AP35</f>
        <v/>
      </c>
      <c r="G61" s="1379">
        <f>'Dec-25 LTM_P&amp;L'!J18</f>
        <v/>
      </c>
      <c r="H61" s="1379">
        <f>H57-H65</f>
        <v/>
      </c>
      <c r="M61" s="1018" t="inlineStr">
        <is>
          <t>Direct costs</t>
        </is>
      </c>
      <c r="N61" s="1378">
        <f>-D61</f>
        <v/>
      </c>
      <c r="O61" s="1378">
        <f>-E61</f>
        <v/>
      </c>
      <c r="P61" s="1378">
        <f>-F61</f>
        <v/>
      </c>
      <c r="Q61" s="1378">
        <f>-G61</f>
        <v/>
      </c>
      <c r="R61" s="1378">
        <f>-H61</f>
        <v/>
      </c>
      <c r="S61" s="1022" t="n"/>
    </row>
    <row r="62">
      <c r="C62" t="inlineStr">
        <is>
          <t>eBlast</t>
        </is>
      </c>
      <c r="D62" s="1375">
        <f>D54-D58</f>
        <v/>
      </c>
      <c r="E62" s="1375">
        <f>E54-E58</f>
        <v/>
      </c>
      <c r="F62" s="1375">
        <f>F54-F58</f>
        <v/>
      </c>
      <c r="G62" s="1375">
        <f>'Dec-25 LTM_P&amp;L'!E20</f>
        <v/>
      </c>
      <c r="H62" s="852" t="n"/>
      <c r="M62" s="851" t="inlineStr">
        <is>
          <t>Gross profit</t>
        </is>
      </c>
      <c r="N62" s="1379">
        <f>D65</f>
        <v/>
      </c>
      <c r="O62" s="1379">
        <f>E65</f>
        <v/>
      </c>
      <c r="P62" s="1379">
        <f>F65</f>
        <v/>
      </c>
      <c r="Q62" s="1379">
        <f>G65</f>
        <v/>
      </c>
      <c r="R62" s="1379">
        <f>H65</f>
        <v/>
      </c>
      <c r="S62" s="1021">
        <f>RATE(3,,-N62,Q62)</f>
        <v/>
      </c>
    </row>
    <row r="63">
      <c r="C63" t="inlineStr">
        <is>
          <t>eTest</t>
        </is>
      </c>
      <c r="D63" s="1375">
        <f>D55-D59</f>
        <v/>
      </c>
      <c r="E63" s="1375">
        <f>E55-E59</f>
        <v/>
      </c>
      <c r="F63" s="1375">
        <f>F55-F59</f>
        <v/>
      </c>
      <c r="G63" s="1375">
        <f>'Dec-25 LTM_P&amp;L'!G20</f>
        <v/>
      </c>
      <c r="H63" s="852" t="n"/>
      <c r="M63" s="768" t="inlineStr">
        <is>
          <t>GP%</t>
        </is>
      </c>
      <c r="N63" s="1017">
        <f>N62/N57</f>
        <v/>
      </c>
      <c r="O63" s="1017">
        <f>O62/O57</f>
        <v/>
      </c>
      <c r="P63" s="1017">
        <f>P62/P57</f>
        <v/>
      </c>
      <c r="Q63" s="1017">
        <f>Q62/Q57</f>
        <v/>
      </c>
      <c r="R63" s="1017">
        <f>R62/R57</f>
        <v/>
      </c>
      <c r="S63" s="768" t="n"/>
    </row>
    <row r="64">
      <c r="C64" t="inlineStr">
        <is>
          <t>Other</t>
        </is>
      </c>
      <c r="D64" s="1375">
        <f>D56-D60</f>
        <v/>
      </c>
      <c r="E64" s="1375">
        <f>E56-E60</f>
        <v/>
      </c>
      <c r="F64" s="1375">
        <f>F56-F60</f>
        <v/>
      </c>
      <c r="G64" s="1375">
        <f>G56-G60</f>
        <v/>
      </c>
      <c r="H64" s="852" t="n"/>
      <c r="S64" s="768" t="n"/>
    </row>
    <row r="65">
      <c r="C65" s="851" t="inlineStr">
        <is>
          <t>Total Gross profit</t>
        </is>
      </c>
      <c r="D65" s="1379">
        <f>D57-D61</f>
        <v/>
      </c>
      <c r="E65" s="1379">
        <f>E57-E61</f>
        <v/>
      </c>
      <c r="F65" s="1379">
        <f>F57-F61</f>
        <v/>
      </c>
      <c r="G65" s="1379">
        <f>'Dec-25 LTM_P&amp;L'!J20</f>
        <v/>
      </c>
      <c r="H65" s="1379">
        <f>PA!H6</f>
        <v/>
      </c>
      <c r="M65" s="1018" t="inlineStr">
        <is>
          <t>Overheads</t>
        </is>
      </c>
      <c r="N65" s="1378">
        <f>D66</f>
        <v/>
      </c>
      <c r="O65" s="1378">
        <f>E66</f>
        <v/>
      </c>
      <c r="P65" s="1378">
        <f>F66</f>
        <v/>
      </c>
      <c r="Q65" s="1378">
        <f>G66</f>
        <v/>
      </c>
      <c r="R65" s="1378">
        <f>H66</f>
        <v/>
      </c>
      <c r="S65" s="1022" t="n"/>
    </row>
    <row r="66">
      <c r="C66" t="inlineStr">
        <is>
          <t>Overheads</t>
        </is>
      </c>
      <c r="D66" s="1375">
        <f>D67-D65</f>
        <v/>
      </c>
      <c r="E66" s="1375">
        <f>E67-E65</f>
        <v/>
      </c>
      <c r="F66" s="1375">
        <f>F67-F65</f>
        <v/>
      </c>
      <c r="G66" s="1375">
        <f>G67-G65</f>
        <v/>
      </c>
      <c r="H66" s="1375">
        <f>H67-H65</f>
        <v/>
      </c>
      <c r="M66" s="851" t="inlineStr">
        <is>
          <t>EBITDA</t>
        </is>
      </c>
      <c r="N66" s="1379">
        <f>D67</f>
        <v/>
      </c>
      <c r="O66" s="1379">
        <f>E67</f>
        <v/>
      </c>
      <c r="P66" s="1379">
        <f>F67</f>
        <v/>
      </c>
      <c r="Q66" s="1379">
        <f>G67</f>
        <v/>
      </c>
      <c r="R66" s="1379">
        <f>H67</f>
        <v/>
      </c>
      <c r="S66" s="1021" t="n">
        <v>0.1121131716098694</v>
      </c>
    </row>
    <row r="67">
      <c r="C67" s="851" t="inlineStr">
        <is>
          <t>EBITDA</t>
        </is>
      </c>
      <c r="D67" s="1379">
        <f>'Consol P&amp;L'!P65</f>
        <v/>
      </c>
      <c r="E67" s="1379">
        <f>'Consol P&amp;L'!AC65</f>
        <v/>
      </c>
      <c r="F67" s="1379">
        <f>'Consol P&amp;L'!AP65</f>
        <v/>
      </c>
      <c r="G67" s="1379">
        <f>'Dec-25 LTM_P&amp;L'!K28</f>
        <v/>
      </c>
      <c r="H67" s="1379">
        <f>PA!H8</f>
        <v/>
      </c>
      <c r="M67" s="768" t="inlineStr">
        <is>
          <t>EBITDA%</t>
        </is>
      </c>
      <c r="N67" s="1017">
        <f>N66/N57</f>
        <v/>
      </c>
      <c r="O67" s="1017">
        <f>O66/O57</f>
        <v/>
      </c>
      <c r="P67" s="1017">
        <f>P66/P57</f>
        <v/>
      </c>
      <c r="Q67" s="1017">
        <f>Q66/Q57</f>
        <v/>
      </c>
      <c r="R67" s="1017">
        <f>R66/R57</f>
        <v/>
      </c>
      <c r="S67" s="768" t="n"/>
    </row>
    <row r="68">
      <c r="C68" s="768" t="inlineStr">
        <is>
          <t>eBlast growth</t>
        </is>
      </c>
      <c r="D68" s="868" t="n"/>
      <c r="E68" s="870">
        <f>E54/D54-1</f>
        <v/>
      </c>
      <c r="F68" s="870">
        <f>F54/E54-1</f>
        <v/>
      </c>
      <c r="G68" s="870">
        <f>G54/F54-1</f>
        <v/>
      </c>
      <c r="H68" s="852" t="n"/>
      <c r="S68" s="768" t="n"/>
    </row>
    <row r="69">
      <c r="C69" s="768" t="inlineStr">
        <is>
          <t>eTest growth</t>
        </is>
      </c>
      <c r="D69" s="868" t="n"/>
      <c r="E69" s="870">
        <f>E55/D55-1</f>
        <v/>
      </c>
      <c r="F69" s="870">
        <f>F55/E55-1</f>
        <v/>
      </c>
      <c r="G69" s="870">
        <f>G55/F55-1</f>
        <v/>
      </c>
      <c r="H69" s="852" t="n"/>
      <c r="M69" s="851" t="inlineStr">
        <is>
          <t>OCF</t>
        </is>
      </c>
      <c r="N69" s="1379">
        <f>D78</f>
        <v/>
      </c>
      <c r="O69" s="1379">
        <f>E78</f>
        <v/>
      </c>
      <c r="P69" s="1379">
        <f>F78</f>
        <v/>
      </c>
      <c r="Q69" s="1379">
        <f>G78</f>
        <v/>
      </c>
      <c r="R69" s="1379" t="n"/>
      <c r="S69" s="1021" t="n"/>
    </row>
    <row r="70">
      <c r="C70" s="810" t="inlineStr">
        <is>
          <t>Rev. growth</t>
        </is>
      </c>
      <c r="D70" s="869" t="n"/>
      <c r="E70" s="870">
        <f>E57/D57-1</f>
        <v/>
      </c>
      <c r="F70" s="870">
        <f>F57/E57-1</f>
        <v/>
      </c>
      <c r="G70" s="870">
        <f>G57/F57-1</f>
        <v/>
      </c>
      <c r="H70" s="870">
        <f>H57/G57-1</f>
        <v/>
      </c>
      <c r="M70" s="768" t="inlineStr">
        <is>
          <t>OCF%</t>
        </is>
      </c>
      <c r="N70" s="1017">
        <f>N69/N66</f>
        <v/>
      </c>
      <c r="O70" s="1017">
        <f>O69/O66</f>
        <v/>
      </c>
      <c r="P70" s="1017">
        <f>P69/P66</f>
        <v/>
      </c>
      <c r="Q70" s="1017">
        <f>Q69/Q66</f>
        <v/>
      </c>
      <c r="S70" s="768" t="n"/>
    </row>
    <row r="71">
      <c r="C71" s="768" t="inlineStr">
        <is>
          <t>eBlast margin</t>
        </is>
      </c>
      <c r="D71" s="799">
        <f>D62/D54</f>
        <v/>
      </c>
      <c r="E71" s="799">
        <f>E62/E54</f>
        <v/>
      </c>
      <c r="F71" s="799">
        <f>F62/F54</f>
        <v/>
      </c>
      <c r="G71" s="799">
        <f>G62/G54</f>
        <v/>
      </c>
      <c r="H71" s="852" t="n"/>
      <c r="S71" s="768" t="n"/>
    </row>
    <row r="72">
      <c r="C72" s="768" t="inlineStr">
        <is>
          <t>eTest margin</t>
        </is>
      </c>
      <c r="D72" s="799">
        <f>D63/D55</f>
        <v/>
      </c>
      <c r="E72" s="799">
        <f>E63/E55</f>
        <v/>
      </c>
      <c r="F72" s="799">
        <f>F63/F55</f>
        <v/>
      </c>
      <c r="G72" s="799">
        <f>G63/G55</f>
        <v/>
      </c>
      <c r="H72" s="852" t="n"/>
      <c r="M72" s="1019" t="inlineStr">
        <is>
          <t>KPIs</t>
        </is>
      </c>
      <c r="N72" s="1018" t="n"/>
      <c r="O72" s="1018" t="n"/>
      <c r="P72" s="1018" t="n"/>
      <c r="Q72" s="1018" t="n"/>
      <c r="R72" s="1018" t="n"/>
      <c r="S72" s="1022" t="n"/>
    </row>
    <row r="73">
      <c r="C73" s="810" t="inlineStr">
        <is>
          <t>Gross Margin</t>
        </is>
      </c>
      <c r="D73" s="799">
        <f>D65/D57</f>
        <v/>
      </c>
      <c r="E73" s="799">
        <f>E65/E57</f>
        <v/>
      </c>
      <c r="F73" s="799">
        <f>F65/F57</f>
        <v/>
      </c>
      <c r="G73" s="799">
        <f>G65/G57</f>
        <v/>
      </c>
      <c r="H73" s="799">
        <f>H65/H57</f>
        <v/>
      </c>
      <c r="M73" s="768" t="inlineStr">
        <is>
          <t>eBlast growth</t>
        </is>
      </c>
      <c r="N73" s="852" t="n"/>
      <c r="O73" s="1017">
        <f>E68</f>
        <v/>
      </c>
      <c r="P73" s="1017">
        <f>F68</f>
        <v/>
      </c>
      <c r="Q73" s="1017">
        <f>G68</f>
        <v/>
      </c>
      <c r="S73" s="768" t="n"/>
    </row>
    <row r="74">
      <c r="C74" t="inlineStr">
        <is>
          <t>EBITDA Margin</t>
        </is>
      </c>
      <c r="D74" s="799">
        <f>D67/D57</f>
        <v/>
      </c>
      <c r="E74" s="799">
        <f>E67/E57</f>
        <v/>
      </c>
      <c r="F74" s="799">
        <f>F67/F57</f>
        <v/>
      </c>
      <c r="G74" s="799">
        <f>G67/G57</f>
        <v/>
      </c>
      <c r="H74" s="799">
        <f>H67/H57</f>
        <v/>
      </c>
      <c r="M74" s="768" t="inlineStr">
        <is>
          <t>eTest growth</t>
        </is>
      </c>
      <c r="N74" s="852" t="n"/>
      <c r="O74" s="1017">
        <f>E69</f>
        <v/>
      </c>
      <c r="P74" s="1017">
        <f>F69</f>
        <v/>
      </c>
      <c r="Q74" s="1017">
        <f>G69</f>
        <v/>
      </c>
      <c r="S74" s="768" t="n"/>
    </row>
    <row r="75">
      <c r="C75" s="853" t="inlineStr">
        <is>
          <t>Cashflow</t>
        </is>
      </c>
      <c r="D75" s="852" t="n"/>
      <c r="E75" s="852" t="n"/>
      <c r="F75" s="852" t="n"/>
      <c r="G75" s="852" t="n"/>
      <c r="H75" s="852" t="n"/>
      <c r="S75" s="768" t="n"/>
    </row>
    <row r="76">
      <c r="C76" s="851" t="inlineStr">
        <is>
          <t>EBITDA</t>
        </is>
      </c>
      <c r="D76" s="1379">
        <f>D67</f>
        <v/>
      </c>
      <c r="E76" s="1379">
        <f>E67</f>
        <v/>
      </c>
      <c r="F76" s="1379">
        <f>F67</f>
        <v/>
      </c>
      <c r="G76" s="1379">
        <f>G67</f>
        <v/>
      </c>
      <c r="H76" s="852" t="n"/>
      <c r="M76" s="768" t="inlineStr">
        <is>
          <t>eBlast margin</t>
        </is>
      </c>
      <c r="N76" s="1017">
        <f>D71</f>
        <v/>
      </c>
      <c r="O76" s="1017">
        <f>E71</f>
        <v/>
      </c>
      <c r="P76" s="1017">
        <f>F71</f>
        <v/>
      </c>
      <c r="Q76" s="1017">
        <f>G71</f>
        <v/>
      </c>
      <c r="S76" s="768" t="n"/>
    </row>
    <row r="77">
      <c r="C77" t="inlineStr">
        <is>
          <t>NWC delta</t>
        </is>
      </c>
      <c r="D77" s="1380">
        <f>LBO!E209*10^6</f>
        <v/>
      </c>
      <c r="E77" s="1380">
        <f>LBO!F209*10^6</f>
        <v/>
      </c>
      <c r="F77" s="1380">
        <f>LBO!G209*10^6</f>
        <v/>
      </c>
      <c r="G77" s="1380">
        <f>LBO!H209*10^6</f>
        <v/>
      </c>
      <c r="H77" s="852" t="n"/>
      <c r="M77" s="768" t="inlineStr">
        <is>
          <t>eTest margin</t>
        </is>
      </c>
      <c r="N77" s="1017">
        <f>D72</f>
        <v/>
      </c>
      <c r="O77" s="1017">
        <f>E72</f>
        <v/>
      </c>
      <c r="P77" s="1017">
        <f>F72</f>
        <v/>
      </c>
      <c r="Q77" s="1017">
        <f>G72</f>
        <v/>
      </c>
      <c r="S77" s="768" t="n"/>
    </row>
    <row r="78">
      <c r="C78" t="inlineStr">
        <is>
          <t>Operating cash</t>
        </is>
      </c>
      <c r="D78" s="1375">
        <f>D76+D77</f>
        <v/>
      </c>
      <c r="E78" s="1375">
        <f>E76+E77</f>
        <v/>
      </c>
      <c r="F78" s="1375">
        <f>F76+F77</f>
        <v/>
      </c>
      <c r="G78" s="1375">
        <f>G76+G77</f>
        <v/>
      </c>
      <c r="H78" s="852" t="n"/>
      <c r="S78" s="768" t="n"/>
    </row>
    <row r="79">
      <c r="C79" t="inlineStr">
        <is>
          <t>Operating cash converstion</t>
        </is>
      </c>
      <c r="D79" s="799">
        <f>D78/D76</f>
        <v/>
      </c>
      <c r="E79" s="799">
        <f>E78/E76</f>
        <v/>
      </c>
      <c r="F79" s="799">
        <f>F78/F76</f>
        <v/>
      </c>
      <c r="G79" s="799">
        <f>G78/G76</f>
        <v/>
      </c>
      <c r="H79" s="852" t="n"/>
      <c r="S79" s="768" t="n"/>
    </row>
    <row r="82">
      <c r="C82" t="inlineStr">
        <is>
          <t>overheads</t>
        </is>
      </c>
      <c r="D82">
        <f>D66/D65</f>
        <v/>
      </c>
      <c r="E82">
        <f>E66/E65</f>
        <v/>
      </c>
      <c r="F82">
        <f>F66/F65</f>
        <v/>
      </c>
      <c r="G82">
        <f>G66/G65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AV160"/>
  <sheetViews>
    <sheetView workbookViewId="0">
      <selection activeCell="A1" sqref="A1"/>
    </sheetView>
  </sheetViews>
  <sheetFormatPr baseColWidth="8" defaultColWidth="0" defaultRowHeight="0" customHeight="1" zeroHeight="1"/>
  <cols>
    <col width="1.7109375" customWidth="1" style="175" min="1" max="1"/>
    <col width="2.7109375" customWidth="1" style="175" min="2" max="2"/>
    <col width="27.140625" customWidth="1" style="175" min="3" max="3"/>
    <col width="7.5703125" customWidth="1" style="175" min="4" max="4"/>
    <col width="8.5703125" customWidth="1" style="175" min="5" max="14"/>
    <col width="2.140625" customWidth="1" style="175" min="15" max="15"/>
    <col width="26.28515625" customWidth="1" style="175" min="16" max="16"/>
    <col width="8.5703125" customWidth="1" style="175" min="17" max="27"/>
    <col width="2.7109375" customWidth="1" style="196" min="28" max="28"/>
    <col width="9.140625" customWidth="1" min="29" max="31"/>
    <col width="17.85546875" bestFit="1" customWidth="1" min="32" max="32"/>
    <col width="9.140625" customWidth="1" min="33" max="40"/>
    <col hidden="1" min="41" max="48"/>
    <col hidden="1" width="9.140625" customWidth="1" style="175" min="49" max="16384"/>
  </cols>
  <sheetData>
    <row r="1" ht="12.75" customFormat="1" customHeight="1" s="188">
      <c r="A1" s="673" t="n"/>
      <c r="B1" s="674" t="n"/>
      <c r="C1" s="675">
        <f>LBO!B3</f>
        <v/>
      </c>
      <c r="D1" s="1381" t="n"/>
      <c r="E1" s="674">
        <f>LBO!B6</f>
        <v/>
      </c>
      <c r="F1" s="676" t="n"/>
      <c r="G1" s="1382">
        <f>LBO!C6</f>
        <v/>
      </c>
      <c r="H1" s="677" t="n"/>
      <c r="I1" s="678" t="n"/>
      <c r="J1" s="674">
        <f>LBO!B4&amp;":"</f>
        <v/>
      </c>
      <c r="K1" s="679" t="n"/>
      <c r="L1" s="286">
        <f>RIGHT(LBO!C4,19)</f>
        <v/>
      </c>
      <c r="M1" s="286" t="n"/>
      <c r="N1" s="680" t="n"/>
      <c r="O1" s="674">
        <f>LBO!B5</f>
        <v/>
      </c>
      <c r="P1" s="681" t="n"/>
      <c r="Q1" s="293">
        <f>LBO!C5</f>
        <v/>
      </c>
      <c r="R1" s="286" t="n"/>
      <c r="S1" s="1383" t="n"/>
      <c r="T1" s="286" t="n"/>
      <c r="U1" s="681" t="n"/>
      <c r="V1" s="681" t="n"/>
      <c r="W1" s="681" t="n"/>
      <c r="X1" s="681" t="n"/>
      <c r="Y1" s="681" t="n"/>
      <c r="Z1" s="681" t="n"/>
      <c r="AA1" s="681" t="n"/>
      <c r="AB1" s="682" t="n"/>
      <c r="AC1" s="683" t="n"/>
      <c r="AD1" s="683" t="n"/>
      <c r="AE1" s="683" t="n"/>
      <c r="AF1" s="683" t="n"/>
      <c r="AG1" s="683" t="n"/>
      <c r="AH1" s="683" t="n"/>
      <c r="AI1" s="683" t="n"/>
      <c r="AJ1" s="683" t="n"/>
      <c r="AK1" s="683" t="n"/>
      <c r="AL1" s="683" t="n"/>
      <c r="AM1" s="683" t="n"/>
      <c r="AN1" s="683" t="n"/>
      <c r="AO1" s="683" t="n"/>
      <c r="AP1" s="683" t="n"/>
      <c r="AQ1" s="683" t="n"/>
      <c r="AR1" s="683" t="n"/>
      <c r="AS1" s="683" t="n"/>
      <c r="AT1" s="683" t="n"/>
      <c r="AU1" s="683" t="n"/>
      <c r="AV1" s="683" t="n"/>
    </row>
    <row r="2" ht="3" customHeight="1"/>
    <row r="3" ht="3" customHeight="1"/>
    <row r="4" ht="12.75" customHeight="1">
      <c r="C4" s="201" t="n"/>
      <c r="I4" s="201" t="inlineStr">
        <is>
          <t>&lt;&lt;&lt;&lt;&lt;&lt; MANUAL INPUT FOR LTM DATA</t>
        </is>
      </c>
    </row>
    <row r="5" ht="5.25" customHeight="1" thickBot="1">
      <c r="B5" s="1384" t="n"/>
      <c r="C5" s="206" t="n"/>
      <c r="D5" s="206" t="n"/>
      <c r="E5" s="206" t="n"/>
      <c r="F5" s="206" t="n"/>
      <c r="G5" s="206" t="n"/>
      <c r="H5" s="206" t="n"/>
      <c r="I5" s="206" t="n"/>
      <c r="J5" s="206" t="n"/>
      <c r="K5" s="206" t="n"/>
      <c r="L5" s="206" t="n"/>
      <c r="M5" s="206" t="n"/>
      <c r="N5" s="206" t="n"/>
      <c r="O5" s="206" t="n"/>
      <c r="P5" s="206" t="n"/>
      <c r="Q5" s="206" t="n"/>
      <c r="R5" s="206" t="n"/>
      <c r="S5" s="206" t="n"/>
      <c r="T5" s="206" t="n"/>
      <c r="U5" s="206" t="n"/>
      <c r="V5" s="206" t="n"/>
      <c r="W5" s="206" t="n"/>
      <c r="X5" s="206" t="n"/>
      <c r="Y5" s="206" t="n"/>
      <c r="Z5" s="206" t="n"/>
      <c r="AA5" s="206" t="n"/>
      <c r="AF5" s="175" t="n"/>
      <c r="AG5" s="175" t="n"/>
      <c r="AH5" s="175" t="n"/>
      <c r="AI5" s="175" t="n"/>
      <c r="AJ5" s="175" t="n"/>
      <c r="AK5" s="175" t="n"/>
      <c r="AL5" s="175" t="n"/>
      <c r="AM5" s="175" t="n"/>
      <c r="AN5" s="175" t="n"/>
      <c r="AO5" s="175" t="n"/>
      <c r="AP5" s="175" t="n"/>
      <c r="AQ5" s="175" t="n"/>
      <c r="AR5" s="175" t="n"/>
      <c r="AS5" s="175" t="n"/>
      <c r="AT5" s="175" t="n"/>
      <c r="AU5" s="175" t="n"/>
      <c r="AV5" s="175" t="n"/>
    </row>
    <row r="6" ht="12.75" customHeight="1" thickBot="1">
      <c r="B6" s="1384" t="n"/>
      <c r="C6" s="199">
        <f>"P&amp;L and CF ("&amp;LBO!L14&amp;")"</f>
        <v/>
      </c>
      <c r="D6" s="200" t="n"/>
      <c r="E6" s="207" t="n"/>
      <c r="F6" s="207" t="n"/>
      <c r="G6" s="208" t="n"/>
      <c r="H6" s="208" t="n"/>
      <c r="I6" s="208" t="n"/>
      <c r="J6" s="208" t="n"/>
      <c r="K6" s="208" t="n"/>
      <c r="L6" s="208" t="n"/>
      <c r="M6" s="208" t="n"/>
      <c r="N6" s="209" t="n"/>
      <c r="O6" s="202" t="n"/>
      <c r="P6" s="199" t="inlineStr">
        <is>
          <t>Growth &amp; Margin Analysis (as % of Total Sales)</t>
        </is>
      </c>
      <c r="Q6" s="186" t="n"/>
      <c r="R6" s="186" t="n"/>
      <c r="S6" s="186" t="n"/>
      <c r="T6" s="186" t="n"/>
      <c r="U6" s="186" t="n"/>
      <c r="V6" s="186" t="n"/>
      <c r="W6" s="186" t="n"/>
      <c r="X6" s="186" t="n"/>
      <c r="Y6" s="186" t="n"/>
      <c r="Z6" s="186" t="n"/>
      <c r="AA6" s="187" t="n"/>
      <c r="AB6" s="190" t="n"/>
      <c r="AF6" s="175" t="n"/>
      <c r="AG6" s="175" t="n"/>
      <c r="AH6" s="175" t="n"/>
      <c r="AI6" s="175" t="n"/>
      <c r="AJ6" s="175" t="n"/>
      <c r="AK6" s="175" t="n"/>
      <c r="AL6" s="175" t="n"/>
      <c r="AM6" s="175" t="n"/>
      <c r="AN6" s="175" t="n"/>
      <c r="AO6" s="175" t="n"/>
      <c r="AP6" s="175" t="n"/>
      <c r="AQ6" s="175" t="n"/>
      <c r="AR6" s="175" t="n"/>
      <c r="AS6" s="175" t="n"/>
      <c r="AT6" s="175" t="n"/>
      <c r="AU6" s="175" t="n"/>
      <c r="AV6" s="175" t="n"/>
    </row>
    <row r="7" ht="12.75" customHeight="1" thickTop="1">
      <c r="B7" s="1384" t="n"/>
      <c r="C7" s="266">
        <f>"YE, "&amp;TEXT(LBO!$F$37,"mmm-dd")</f>
        <v/>
      </c>
      <c r="D7" s="299" t="n"/>
      <c r="E7" s="1385">
        <f>+LBO!E157</f>
        <v/>
      </c>
      <c r="F7" s="1385">
        <f>+LBO!F157</f>
        <v/>
      </c>
      <c r="G7" s="1385">
        <f>+LBO!G157</f>
        <v/>
      </c>
      <c r="H7" s="1385">
        <f>+LBO!H157</f>
        <v/>
      </c>
      <c r="I7" s="473" t="inlineStr">
        <is>
          <t>LTM Jun</t>
        </is>
      </c>
      <c r="J7" s="1385">
        <f>+LBO!J157</f>
        <v/>
      </c>
      <c r="K7" s="1385">
        <f>+LBO!K157</f>
        <v/>
      </c>
      <c r="L7" s="1385">
        <f>+LBO!L157</f>
        <v/>
      </c>
      <c r="M7" s="1385">
        <f>+LBO!M157</f>
        <v/>
      </c>
      <c r="N7" s="1386">
        <f>+LBO!N157</f>
        <v/>
      </c>
      <c r="O7" s="202" t="n"/>
      <c r="P7" s="266">
        <f>C7</f>
        <v/>
      </c>
      <c r="Q7" s="267" t="n"/>
      <c r="R7" s="1385">
        <f>E7</f>
        <v/>
      </c>
      <c r="S7" s="1385">
        <f>F7</f>
        <v/>
      </c>
      <c r="T7" s="1385">
        <f>G7</f>
        <v/>
      </c>
      <c r="U7" s="1387">
        <f>H7</f>
        <v/>
      </c>
      <c r="V7" s="1388">
        <f>I7</f>
        <v/>
      </c>
      <c r="W7" s="1385">
        <f>J7</f>
        <v/>
      </c>
      <c r="X7" s="1385">
        <f>K7</f>
        <v/>
      </c>
      <c r="Y7" s="1385">
        <f>L7</f>
        <v/>
      </c>
      <c r="Z7" s="1385">
        <f>M7</f>
        <v/>
      </c>
      <c r="AA7" s="1386">
        <f>N7</f>
        <v/>
      </c>
      <c r="AB7" s="191" t="n"/>
      <c r="AF7" s="175" t="n"/>
      <c r="AG7" s="175" t="n"/>
      <c r="AH7" s="175" t="n"/>
      <c r="AI7" s="175" t="n"/>
      <c r="AJ7" s="175" t="n"/>
      <c r="AK7" s="175" t="n"/>
      <c r="AL7" s="175" t="n"/>
      <c r="AM7" s="175" t="n"/>
      <c r="AN7" s="175" t="n"/>
      <c r="AO7" s="175" t="n"/>
      <c r="AP7" s="175" t="n"/>
      <c r="AQ7" s="175" t="n"/>
      <c r="AR7" s="175" t="n"/>
      <c r="AS7" s="175" t="n"/>
      <c r="AT7" s="175" t="n"/>
      <c r="AU7" s="175" t="n"/>
      <c r="AV7" s="175" t="n"/>
    </row>
    <row r="8" ht="5.25" customHeight="1">
      <c r="B8" s="1384" t="n"/>
      <c r="C8" s="211" t="n"/>
      <c r="D8" s="212" t="n"/>
      <c r="E8" s="212" t="n"/>
      <c r="F8" s="212" t="n"/>
      <c r="G8" s="212" t="n"/>
      <c r="H8" s="212" t="n"/>
      <c r="I8" s="474" t="n"/>
      <c r="J8" s="212" t="n"/>
      <c r="K8" s="212" t="n"/>
      <c r="L8" s="212" t="n"/>
      <c r="M8" s="212" t="n"/>
      <c r="N8" s="213" t="n"/>
      <c r="O8" s="203" t="n"/>
      <c r="P8" s="211" t="n"/>
      <c r="Q8" s="214" t="n"/>
      <c r="R8" s="212" t="n"/>
      <c r="S8" s="212" t="n"/>
      <c r="T8" s="212" t="n"/>
      <c r="U8" s="489" t="n"/>
      <c r="V8" s="474" t="n"/>
      <c r="W8" s="212" t="n"/>
      <c r="X8" s="212" t="n"/>
      <c r="Y8" s="212" t="n"/>
      <c r="Z8" s="212" t="n"/>
      <c r="AA8" s="213" t="n"/>
      <c r="AF8" s="175" t="n"/>
      <c r="AG8" s="175" t="n"/>
      <c r="AH8" s="175" t="n"/>
      <c r="AI8" s="175" t="n"/>
      <c r="AJ8" s="175" t="n"/>
      <c r="AK8" s="175" t="n"/>
      <c r="AL8" s="175" t="n"/>
      <c r="AM8" s="175" t="n"/>
      <c r="AN8" s="175" t="n"/>
      <c r="AO8" s="175" t="n"/>
      <c r="AP8" s="175" t="n"/>
      <c r="AQ8" s="175" t="n"/>
      <c r="AR8" s="175" t="n"/>
      <c r="AS8" s="175" t="n"/>
      <c r="AT8" s="175" t="n"/>
      <c r="AU8" s="175" t="n"/>
      <c r="AV8" s="175" t="n"/>
    </row>
    <row r="9" ht="12.75" customHeight="1">
      <c r="B9" s="1384" t="n"/>
      <c r="C9" s="222" t="inlineStr">
        <is>
          <t>Revenue: organic</t>
        </is>
      </c>
      <c r="D9" s="1389" t="n"/>
      <c r="E9" s="1390">
        <f>+LBO!E159</f>
        <v/>
      </c>
      <c r="F9" s="1390">
        <f>+LBO!F159</f>
        <v/>
      </c>
      <c r="G9" s="1390">
        <f>+LBO!G159</f>
        <v/>
      </c>
      <c r="H9" s="1390">
        <f>+LBO!H159</f>
        <v/>
      </c>
      <c r="I9" s="1391" t="n"/>
      <c r="J9" s="1390">
        <f>+LBO!J159</f>
        <v/>
      </c>
      <c r="K9" s="1390">
        <f>+LBO!K159</f>
        <v/>
      </c>
      <c r="L9" s="1390">
        <f>+LBO!L159</f>
        <v/>
      </c>
      <c r="M9" s="1390">
        <f>+LBO!M159</f>
        <v/>
      </c>
      <c r="N9" s="1392">
        <f>+LBO!N159</f>
        <v/>
      </c>
      <c r="O9" s="202" t="n"/>
      <c r="P9" s="222" t="inlineStr">
        <is>
          <t>Revenue: organic</t>
        </is>
      </c>
      <c r="Q9" s="227" t="n"/>
      <c r="R9" s="1393">
        <f>IFERROR(E9/D9-1,"n/a")</f>
        <v/>
      </c>
      <c r="S9" s="1393">
        <f>IFERROR(F9/E9-1,"n/a")</f>
        <v/>
      </c>
      <c r="T9" s="1393">
        <f>IFERROR(G9/F9-1,"n/a")</f>
        <v/>
      </c>
      <c r="U9" s="1394">
        <f>IFERROR(H9/G9-1,"n/a")</f>
        <v/>
      </c>
      <c r="V9" s="1395">
        <f>IFERROR(I9/G9-1,"n/a")</f>
        <v/>
      </c>
      <c r="W9" s="1393">
        <f>IFERROR(J9/H9-1,"n/a")</f>
        <v/>
      </c>
      <c r="X9" s="1393">
        <f>IFERROR(K9/J9-1,"n/a")</f>
        <v/>
      </c>
      <c r="Y9" s="1393">
        <f>IFERROR(L9/K9-1,"n/a")</f>
        <v/>
      </c>
      <c r="Z9" s="1393">
        <f>IFERROR(M9/L9-1,"n/a")</f>
        <v/>
      </c>
      <c r="AA9" s="1396">
        <f>IFERROR(N9/M9-1,"n/a")</f>
        <v/>
      </c>
      <c r="AB9" s="1397" t="n"/>
      <c r="AF9" s="175" t="n"/>
      <c r="AG9" s="175" t="n"/>
      <c r="AH9" s="175" t="n"/>
      <c r="AI9" s="175" t="n"/>
      <c r="AJ9" s="175" t="n"/>
      <c r="AK9" s="175" t="n"/>
      <c r="AL9" s="175" t="n"/>
      <c r="AM9" s="175" t="n"/>
      <c r="AN9" s="175" t="n"/>
      <c r="AO9" s="175" t="n"/>
      <c r="AP9" s="175" t="n"/>
      <c r="AQ9" s="175" t="n"/>
      <c r="AR9" s="175" t="n"/>
      <c r="AS9" s="175" t="n"/>
      <c r="AT9" s="175" t="n"/>
      <c r="AU9" s="175" t="n"/>
      <c r="AV9" s="175" t="n"/>
    </row>
    <row r="10" ht="12.75" customHeight="1">
      <c r="B10" s="1384" t="n"/>
      <c r="C10" s="222" t="inlineStr">
        <is>
          <t>Revenue: M&amp;A</t>
        </is>
      </c>
      <c r="D10" s="1389" t="n"/>
      <c r="E10" s="1390">
        <f>+LBO!E161</f>
        <v/>
      </c>
      <c r="F10" s="1390">
        <f>+LBO!F161</f>
        <v/>
      </c>
      <c r="G10" s="1390">
        <f>+LBO!G161</f>
        <v/>
      </c>
      <c r="H10" s="1390">
        <f>+LBO!H161</f>
        <v/>
      </c>
      <c r="I10" s="1391" t="n"/>
      <c r="J10" s="1390">
        <f>+LBO!J161</f>
        <v/>
      </c>
      <c r="K10" s="1390">
        <f>+LBO!K161</f>
        <v/>
      </c>
      <c r="L10" s="1390">
        <f>+LBO!L161</f>
        <v/>
      </c>
      <c r="M10" s="1390">
        <f>+LBO!M161</f>
        <v/>
      </c>
      <c r="N10" s="1392">
        <f>+LBO!N161</f>
        <v/>
      </c>
      <c r="O10" s="202" t="n"/>
      <c r="P10" s="222" t="inlineStr">
        <is>
          <t>Revenue: M&amp;A</t>
        </is>
      </c>
      <c r="Q10" s="227" t="n"/>
      <c r="R10" s="1393">
        <f>IFERROR(E10/D10-1,"n/a")</f>
        <v/>
      </c>
      <c r="S10" s="1393">
        <f>IFERROR(F10/E10-1,"n/a")</f>
        <v/>
      </c>
      <c r="T10" s="1393">
        <f>IFERROR(G10/F10-1,"n/a")</f>
        <v/>
      </c>
      <c r="U10" s="1394">
        <f>IFERROR(H10/G10-1,"n/a")</f>
        <v/>
      </c>
      <c r="V10" s="1395">
        <f>IFERROR(I10/G10-1,"n/a")</f>
        <v/>
      </c>
      <c r="W10" s="1393">
        <f>IFERROR(J10/H10-1,"n/a")</f>
        <v/>
      </c>
      <c r="X10" s="1393">
        <f>IFERROR(K10/J10-1,"n/a")</f>
        <v/>
      </c>
      <c r="Y10" s="1393">
        <f>IFERROR(L10/K10-1,"n/a")</f>
        <v/>
      </c>
      <c r="Z10" s="1393">
        <f>IFERROR(M10/L10-1,"n/a")</f>
        <v/>
      </c>
      <c r="AA10" s="1396">
        <f>IFERROR(N10/M10-1,"n/a")</f>
        <v/>
      </c>
      <c r="AB10" s="1397" t="n"/>
      <c r="AF10" s="175" t="n"/>
      <c r="AG10" s="175" t="n"/>
      <c r="AH10" s="175" t="n"/>
      <c r="AI10" s="175" t="n"/>
      <c r="AJ10" s="175" t="n"/>
      <c r="AK10" s="175" t="n"/>
      <c r="AL10" s="175" t="n"/>
      <c r="AM10" s="175" t="n"/>
      <c r="AN10" s="175" t="n"/>
      <c r="AO10" s="175" t="n"/>
      <c r="AP10" s="175" t="n"/>
      <c r="AQ10" s="175" t="n"/>
      <c r="AR10" s="175" t="n"/>
      <c r="AS10" s="175" t="n"/>
      <c r="AT10" s="175" t="n"/>
      <c r="AU10" s="175" t="n"/>
      <c r="AV10" s="175" t="n"/>
    </row>
    <row r="11" ht="12.75" customHeight="1">
      <c r="B11" s="1384" t="n"/>
      <c r="C11" s="215" t="inlineStr">
        <is>
          <t>Revenue</t>
        </is>
      </c>
      <c r="D11" s="1398" t="n"/>
      <c r="E11" s="1398">
        <f>+E9+E10</f>
        <v/>
      </c>
      <c r="F11" s="1398">
        <f>+F9+F10</f>
        <v/>
      </c>
      <c r="G11" s="1398">
        <f>+G9+G10</f>
        <v/>
      </c>
      <c r="H11" s="1398">
        <f>+H9+H10</f>
        <v/>
      </c>
      <c r="I11" s="1399">
        <f>+I9+I10</f>
        <v/>
      </c>
      <c r="J11" s="1398">
        <f>+J9+J10</f>
        <v/>
      </c>
      <c r="K11" s="1398">
        <f>+K9+K10</f>
        <v/>
      </c>
      <c r="L11" s="1398">
        <f>+L9+L10</f>
        <v/>
      </c>
      <c r="M11" s="1398">
        <f>+M9+M10</f>
        <v/>
      </c>
      <c r="N11" s="1400">
        <f>+N9+N10</f>
        <v/>
      </c>
      <c r="O11" s="202" t="n"/>
      <c r="P11" s="215" t="inlineStr">
        <is>
          <t>Revenue (growth)</t>
        </is>
      </c>
      <c r="Q11" s="219" t="n"/>
      <c r="R11" s="1401">
        <f>IFERROR(E11/D11-1,"n/a")</f>
        <v/>
      </c>
      <c r="S11" s="1401">
        <f>IFERROR(F11/E11-1,"n/a")</f>
        <v/>
      </c>
      <c r="T11" s="1401">
        <f>IFERROR(G11/F11-1,"n/a")</f>
        <v/>
      </c>
      <c r="U11" s="1402">
        <f>IFERROR(H11/G11-1,"n/a")</f>
        <v/>
      </c>
      <c r="V11" s="1403">
        <f>IFERROR(I11/G11-1,"n/a")</f>
        <v/>
      </c>
      <c r="W11" s="1401">
        <f>IFERROR(J11/H11-1,"n/a")</f>
        <v/>
      </c>
      <c r="X11" s="1401">
        <f>IFERROR(K11/J11-1,"n/a")</f>
        <v/>
      </c>
      <c r="Y11" s="1401">
        <f>IFERROR(L11/K11-1,"n/a")</f>
        <v/>
      </c>
      <c r="Z11" s="1401">
        <f>IFERROR(M11/L11-1,"n/a")</f>
        <v/>
      </c>
      <c r="AA11" s="1404">
        <f>IFERROR(N11/M11-1,"n/a")</f>
        <v/>
      </c>
      <c r="AB11" s="1405" t="n"/>
      <c r="AF11" s="175" t="n"/>
      <c r="AG11" s="175" t="n"/>
      <c r="AH11" s="175" t="n"/>
      <c r="AI11" s="175" t="n"/>
      <c r="AJ11" s="175" t="n"/>
      <c r="AK11" s="175" t="n"/>
      <c r="AL11" s="175" t="n"/>
      <c r="AM11" s="175" t="n"/>
      <c r="AN11" s="175" t="n"/>
      <c r="AO11" s="175" t="n"/>
      <c r="AP11" s="175" t="n"/>
      <c r="AQ11" s="175" t="n"/>
      <c r="AR11" s="175" t="n"/>
      <c r="AS11" s="175" t="n"/>
      <c r="AT11" s="175" t="n"/>
      <c r="AU11" s="175" t="n"/>
      <c r="AV11" s="175" t="n"/>
    </row>
    <row r="12" ht="12.75" customHeight="1">
      <c r="B12" s="1384" t="n"/>
      <c r="C12" s="222" t="inlineStr">
        <is>
          <t>COGS</t>
        </is>
      </c>
      <c r="D12" s="1389" t="n"/>
      <c r="E12" s="1390">
        <f>+LBO!E171-LBO!E162</f>
        <v/>
      </c>
      <c r="F12" s="1390">
        <f>+LBO!F171-LBO!F162</f>
        <v/>
      </c>
      <c r="G12" s="1390">
        <f>+LBO!G171-LBO!G162</f>
        <v/>
      </c>
      <c r="H12" s="1390">
        <f>+LBO!H171-LBO!H162</f>
        <v/>
      </c>
      <c r="I12" s="1391" t="n"/>
      <c r="J12" s="1390">
        <f>+LBO!J171-LBO!J162</f>
        <v/>
      </c>
      <c r="K12" s="1390">
        <f>+LBO!K171-LBO!K162</f>
        <v/>
      </c>
      <c r="L12" s="1390">
        <f>+LBO!L171-LBO!L162</f>
        <v/>
      </c>
      <c r="M12" s="1390">
        <f>+LBO!M171-LBO!M162</f>
        <v/>
      </c>
      <c r="N12" s="1392">
        <f>+LBO!N171-LBO!N162</f>
        <v/>
      </c>
      <c r="O12" s="202" t="n"/>
      <c r="P12" s="226" t="inlineStr">
        <is>
          <t>COGS (% revenue)</t>
        </is>
      </c>
      <c r="Q12" s="227" t="n"/>
      <c r="R12" s="1393">
        <f>IFERROR(E12/E$11,"n/a")</f>
        <v/>
      </c>
      <c r="S12" s="1393">
        <f>IFERROR(F12/F$11,"n/a")</f>
        <v/>
      </c>
      <c r="T12" s="1393">
        <f>IFERROR(G12/G$11,"n/a")</f>
        <v/>
      </c>
      <c r="U12" s="1394">
        <f>IFERROR(H12/H$11,"n/a")</f>
        <v/>
      </c>
      <c r="V12" s="1395">
        <f>IFERROR(I12/I$11,"n/a")</f>
        <v/>
      </c>
      <c r="W12" s="1393">
        <f>IFERROR(J12/J$11,"n/a")</f>
        <v/>
      </c>
      <c r="X12" s="1393">
        <f>IFERROR(K12/K$11,"n/a")</f>
        <v/>
      </c>
      <c r="Y12" s="1393">
        <f>IFERROR(L12/L$11,"n/a")</f>
        <v/>
      </c>
      <c r="Z12" s="1393">
        <f>IFERROR(M12/M$11,"n/a")</f>
        <v/>
      </c>
      <c r="AA12" s="1396">
        <f>IFERROR(N12/N$11,"n/a")</f>
        <v/>
      </c>
      <c r="AB12" s="1397" t="n"/>
      <c r="AF12" s="175" t="n"/>
      <c r="AG12" s="175" t="n"/>
      <c r="AH12" s="175" t="n"/>
      <c r="AI12" s="175" t="n"/>
      <c r="AJ12" s="175" t="n"/>
      <c r="AK12" s="175" t="n"/>
      <c r="AL12" s="175" t="n"/>
      <c r="AM12" s="175" t="n"/>
      <c r="AN12" s="175" t="n"/>
      <c r="AO12" s="175" t="n"/>
      <c r="AP12" s="175" t="n"/>
      <c r="AQ12" s="175" t="n"/>
      <c r="AR12" s="175" t="n"/>
      <c r="AS12" s="175" t="n"/>
      <c r="AT12" s="175" t="n"/>
      <c r="AU12" s="175" t="n"/>
      <c r="AV12" s="175" t="n"/>
    </row>
    <row r="13" ht="12.75" customHeight="1">
      <c r="B13" s="1384" t="n"/>
      <c r="C13" s="215" t="inlineStr">
        <is>
          <t>Gross Margin</t>
        </is>
      </c>
      <c r="D13" s="1398" t="n"/>
      <c r="E13" s="1398">
        <f>+E11+E12</f>
        <v/>
      </c>
      <c r="F13" s="1398">
        <f>+F11+F12</f>
        <v/>
      </c>
      <c r="G13" s="1406">
        <f>+G11+G12</f>
        <v/>
      </c>
      <c r="H13" s="1406">
        <f>+H11+H12</f>
        <v/>
      </c>
      <c r="I13" s="1399">
        <f>+I11+I12</f>
        <v/>
      </c>
      <c r="J13" s="1398">
        <f>+J11+J12</f>
        <v/>
      </c>
      <c r="K13" s="1398">
        <f>+K11+K12</f>
        <v/>
      </c>
      <c r="L13" s="1398">
        <f>+L11+L12</f>
        <v/>
      </c>
      <c r="M13" s="1398">
        <f>+M11+M12</f>
        <v/>
      </c>
      <c r="N13" s="1400">
        <f>+N11+N12</f>
        <v/>
      </c>
      <c r="O13" s="202" t="n"/>
      <c r="P13" s="215" t="inlineStr">
        <is>
          <t>Gross margin (% revenue)</t>
        </is>
      </c>
      <c r="Q13" s="219" t="n"/>
      <c r="R13" s="1401">
        <f>IFERROR(E13/E$11,"n/a")</f>
        <v/>
      </c>
      <c r="S13" s="1401">
        <f>IFERROR(F13/F$11,"n/a")</f>
        <v/>
      </c>
      <c r="T13" s="1401">
        <f>IFERROR(G13/G$11,"n/a")</f>
        <v/>
      </c>
      <c r="U13" s="1402">
        <f>IFERROR(H13/H$11,"n/a")</f>
        <v/>
      </c>
      <c r="V13" s="1403">
        <f>IFERROR(I13/I$11,"n/a")</f>
        <v/>
      </c>
      <c r="W13" s="1401">
        <f>IFERROR(J13/J$11,"n/a")</f>
        <v/>
      </c>
      <c r="X13" s="1401">
        <f>IFERROR(K13/K$11,"n/a")</f>
        <v/>
      </c>
      <c r="Y13" s="1401">
        <f>IFERROR(L13/L$11,"n/a")</f>
        <v/>
      </c>
      <c r="Z13" s="1401">
        <f>IFERROR(M13/M$11,"n/a")</f>
        <v/>
      </c>
      <c r="AA13" s="1404">
        <f>IFERROR(N13/N$11,"n/a")</f>
        <v/>
      </c>
      <c r="AB13" s="1397" t="n"/>
      <c r="AF13" s="175" t="n"/>
      <c r="AG13" s="175" t="n"/>
      <c r="AH13" s="175" t="n"/>
      <c r="AI13" s="175" t="n"/>
      <c r="AJ13" s="175" t="n"/>
      <c r="AK13" s="175" t="n"/>
      <c r="AL13" s="175" t="n"/>
      <c r="AM13" s="175" t="n"/>
      <c r="AN13" s="175" t="n"/>
      <c r="AO13" s="175" t="n"/>
      <c r="AP13" s="175" t="n"/>
      <c r="AQ13" s="175" t="n"/>
      <c r="AR13" s="175" t="n"/>
      <c r="AS13" s="175" t="n"/>
      <c r="AT13" s="175" t="n"/>
      <c r="AU13" s="175" t="n"/>
      <c r="AV13" s="175" t="n"/>
    </row>
    <row r="14" ht="12.75" customHeight="1">
      <c r="B14" s="1384" t="n"/>
      <c r="C14" s="222" t="inlineStr">
        <is>
          <t>EBITDA: organic</t>
        </is>
      </c>
      <c r="D14" s="1389" t="n"/>
      <c r="E14" s="1390">
        <f>+LBO!E178</f>
        <v/>
      </c>
      <c r="F14" s="1390">
        <f>+LBO!F178</f>
        <v/>
      </c>
      <c r="G14" s="1390">
        <f>+LBO!G178</f>
        <v/>
      </c>
      <c r="H14" s="1390">
        <f>+LBO!H178</f>
        <v/>
      </c>
      <c r="I14" s="1391" t="n"/>
      <c r="J14" s="1390">
        <f>+LBO!J178</f>
        <v/>
      </c>
      <c r="K14" s="1390">
        <f>+LBO!K178</f>
        <v/>
      </c>
      <c r="L14" s="1390">
        <f>+LBO!L178</f>
        <v/>
      </c>
      <c r="M14" s="1390">
        <f>+LBO!M178</f>
        <v/>
      </c>
      <c r="N14" s="1392">
        <f>+LBO!N178</f>
        <v/>
      </c>
      <c r="O14" s="202" t="n"/>
      <c r="P14" s="226" t="inlineStr">
        <is>
          <t>EBITDA: organic (% revenue)</t>
        </is>
      </c>
      <c r="Q14" s="227" t="n"/>
      <c r="R14" s="1393">
        <f>IFERROR(E14/E9,"n/a")</f>
        <v/>
      </c>
      <c r="S14" s="1393">
        <f>IFERROR(F14/F9,"n/a")</f>
        <v/>
      </c>
      <c r="T14" s="1393">
        <f>IFERROR(G14/G9,"n/a")</f>
        <v/>
      </c>
      <c r="U14" s="1394">
        <f>IFERROR(H14/H9,"n/a")</f>
        <v/>
      </c>
      <c r="V14" s="1395">
        <f>IFERROR(I14/I9,"n/a")</f>
        <v/>
      </c>
      <c r="W14" s="1393">
        <f>IFERROR(J14/J9,"n/a")</f>
        <v/>
      </c>
      <c r="X14" s="1393">
        <f>IFERROR(K14/K9,"n/a")</f>
        <v/>
      </c>
      <c r="Y14" s="1393">
        <f>IFERROR(L14/L9,"n/a")</f>
        <v/>
      </c>
      <c r="Z14" s="1393">
        <f>IFERROR(M14/M9,"n/a")</f>
        <v/>
      </c>
      <c r="AA14" s="1396">
        <f>IFERROR(N14/N9,"n/a")</f>
        <v/>
      </c>
      <c r="AB14" s="1397" t="n"/>
      <c r="AF14" s="175" t="n"/>
      <c r="AG14" s="175" t="n"/>
      <c r="AH14" s="175" t="n"/>
      <c r="AI14" s="175" t="n"/>
      <c r="AJ14" s="175" t="n"/>
      <c r="AK14" s="175" t="n"/>
      <c r="AL14" s="175" t="n"/>
      <c r="AM14" s="175" t="n"/>
      <c r="AN14" s="175" t="n"/>
      <c r="AO14" s="175" t="n"/>
      <c r="AP14" s="175" t="n"/>
      <c r="AQ14" s="175" t="n"/>
      <c r="AR14" s="175" t="n"/>
      <c r="AS14" s="175" t="n"/>
      <c r="AT14" s="175" t="n"/>
      <c r="AU14" s="175" t="n"/>
      <c r="AV14" s="175" t="n"/>
    </row>
    <row r="15" ht="12.75" customHeight="1">
      <c r="B15" s="1384" t="n"/>
      <c r="C15" s="222" t="inlineStr">
        <is>
          <t>EBITDA: M&amp;A</t>
        </is>
      </c>
      <c r="D15" s="1389" t="n"/>
      <c r="E15" s="1390">
        <f>+LBO!E180</f>
        <v/>
      </c>
      <c r="F15" s="1390">
        <f>+LBO!F180</f>
        <v/>
      </c>
      <c r="G15" s="1390">
        <f>+LBO!G180</f>
        <v/>
      </c>
      <c r="H15" s="1390">
        <f>+LBO!H180</f>
        <v/>
      </c>
      <c r="I15" s="1391" t="n"/>
      <c r="J15" s="1390">
        <f>+LBO!J180</f>
        <v/>
      </c>
      <c r="K15" s="1390">
        <f>+LBO!K180</f>
        <v/>
      </c>
      <c r="L15" s="1390">
        <f>+LBO!L180</f>
        <v/>
      </c>
      <c r="M15" s="1390">
        <f>+LBO!M180</f>
        <v/>
      </c>
      <c r="N15" s="1392">
        <f>+LBO!N180</f>
        <v/>
      </c>
      <c r="O15" s="202" t="n"/>
      <c r="P15" s="226" t="inlineStr">
        <is>
          <t>EBITDA: M&amp;A (% revenue)</t>
        </is>
      </c>
      <c r="Q15" s="227" t="n"/>
      <c r="R15" s="1393">
        <f>IFERROR(E15/E10,"n/a")</f>
        <v/>
      </c>
      <c r="S15" s="1393">
        <f>IFERROR(F15/F10,"n/a")</f>
        <v/>
      </c>
      <c r="T15" s="1393">
        <f>IFERROR(G15/G10,"n/a")</f>
        <v/>
      </c>
      <c r="U15" s="1394">
        <f>IFERROR(H15/H10,"n/a")</f>
        <v/>
      </c>
      <c r="V15" s="1395">
        <f>IFERROR(I15/I10,"n/a")</f>
        <v/>
      </c>
      <c r="W15" s="1393">
        <f>IFERROR(J15/J10,"n/a")</f>
        <v/>
      </c>
      <c r="X15" s="1393">
        <f>IFERROR(K15/K10,"n/a")</f>
        <v/>
      </c>
      <c r="Y15" s="1393">
        <f>IFERROR(L15/L10,"n/a")</f>
        <v/>
      </c>
      <c r="Z15" s="1393">
        <f>IFERROR(M15/M10,"n/a")</f>
        <v/>
      </c>
      <c r="AA15" s="1396">
        <f>IFERROR(N15/N10,"n/a")</f>
        <v/>
      </c>
      <c r="AB15" s="1397" t="n"/>
      <c r="AF15" s="175" t="n"/>
      <c r="AG15" s="175" t="n"/>
      <c r="AH15" s="175" t="n"/>
      <c r="AI15" s="175" t="n"/>
      <c r="AJ15" s="175" t="n"/>
      <c r="AK15" s="175" t="n"/>
      <c r="AL15" s="175" t="n"/>
      <c r="AM15" s="175" t="n"/>
      <c r="AN15" s="175" t="n"/>
      <c r="AO15" s="175" t="n"/>
      <c r="AP15" s="175" t="n"/>
      <c r="AQ15" s="175" t="n"/>
      <c r="AR15" s="175" t="n"/>
      <c r="AS15" s="175" t="n"/>
      <c r="AT15" s="175" t="n"/>
      <c r="AU15" s="175" t="n"/>
      <c r="AV15" s="175" t="n"/>
    </row>
    <row r="16" ht="12.75" customHeight="1">
      <c r="B16" s="1384" t="n"/>
      <c r="C16" s="215" t="inlineStr">
        <is>
          <t>EBITDA</t>
        </is>
      </c>
      <c r="D16" s="1407" t="n"/>
      <c r="E16" s="1398">
        <f>+E14+E15</f>
        <v/>
      </c>
      <c r="F16" s="1398">
        <f>+F14+F15</f>
        <v/>
      </c>
      <c r="G16" s="1398">
        <f>+G14+G15</f>
        <v/>
      </c>
      <c r="H16" s="1398">
        <f>+H14+H15</f>
        <v/>
      </c>
      <c r="I16" s="1399">
        <f>+I14+I15</f>
        <v/>
      </c>
      <c r="J16" s="1398">
        <f>+J14+J15</f>
        <v/>
      </c>
      <c r="K16" s="1398">
        <f>+K14+K15</f>
        <v/>
      </c>
      <c r="L16" s="1398">
        <f>+L14+L15</f>
        <v/>
      </c>
      <c r="M16" s="1398">
        <f>+M14+M15</f>
        <v/>
      </c>
      <c r="N16" s="1400">
        <f>+N14+N15</f>
        <v/>
      </c>
      <c r="O16" s="202" t="n"/>
      <c r="P16" s="215" t="inlineStr">
        <is>
          <t>EBITDA (% revenue)</t>
        </is>
      </c>
      <c r="Q16" s="219" t="n"/>
      <c r="R16" s="1401">
        <f>IFERROR(E16/E11,"n/a")</f>
        <v/>
      </c>
      <c r="S16" s="1401">
        <f>IFERROR(F16/F11,"n/a")</f>
        <v/>
      </c>
      <c r="T16" s="1401">
        <f>IFERROR(G16/G11,"n/a")</f>
        <v/>
      </c>
      <c r="U16" s="1402">
        <f>IFERROR(H16/H11,"n/a")</f>
        <v/>
      </c>
      <c r="V16" s="1403">
        <f>IFERROR(I16/I11,"n/a")</f>
        <v/>
      </c>
      <c r="W16" s="1401">
        <f>IFERROR(J16/J11,"n/a")</f>
        <v/>
      </c>
      <c r="X16" s="1401">
        <f>IFERROR(K16/K11,"n/a")</f>
        <v/>
      </c>
      <c r="Y16" s="1401">
        <f>IFERROR(L16/L11,"n/a")</f>
        <v/>
      </c>
      <c r="Z16" s="1401">
        <f>IFERROR(M16/M11,"n/a")</f>
        <v/>
      </c>
      <c r="AA16" s="1404">
        <f>IFERROR(N16/N11,"n/a")</f>
        <v/>
      </c>
      <c r="AB16" s="1405" t="n"/>
    </row>
    <row r="17" ht="12.75" customHeight="1">
      <c r="B17" s="1384" t="n"/>
      <c r="C17" s="222" t="inlineStr">
        <is>
          <t>D&amp;A</t>
        </is>
      </c>
      <c r="D17" s="1389" t="n"/>
      <c r="E17" s="1390">
        <f>+LBO!E184</f>
        <v/>
      </c>
      <c r="F17" s="1390">
        <f>+LBO!F184</f>
        <v/>
      </c>
      <c r="G17" s="1390">
        <f>+LBO!G184</f>
        <v/>
      </c>
      <c r="H17" s="1390">
        <f>+LBO!H184</f>
        <v/>
      </c>
      <c r="I17" s="1391" t="n"/>
      <c r="J17" s="1390">
        <f>+LBO!J184</f>
        <v/>
      </c>
      <c r="K17" s="1390">
        <f>+LBO!K184</f>
        <v/>
      </c>
      <c r="L17" s="1390">
        <f>+LBO!L184</f>
        <v/>
      </c>
      <c r="M17" s="1390">
        <f>+LBO!M184</f>
        <v/>
      </c>
      <c r="N17" s="1392">
        <f>+LBO!N184</f>
        <v/>
      </c>
      <c r="O17" s="202" t="n"/>
      <c r="P17" s="226" t="inlineStr">
        <is>
          <t>D&amp;A</t>
        </is>
      </c>
      <c r="Q17" s="227" t="n"/>
      <c r="R17" s="1393">
        <f>IFERROR(E17/E11,"n/a")</f>
        <v/>
      </c>
      <c r="S17" s="1393">
        <f>IFERROR(F17/F11,"n/a")</f>
        <v/>
      </c>
      <c r="T17" s="1393">
        <f>IFERROR(G17/G11,"n/a")</f>
        <v/>
      </c>
      <c r="U17" s="1393">
        <f>IFERROR(H17/H11,"n/a")</f>
        <v/>
      </c>
      <c r="V17" s="1395">
        <f>IFERROR(I17/I11,"n/a")</f>
        <v/>
      </c>
      <c r="W17" s="1393">
        <f>IFERROR(J17/J11,"n/a")</f>
        <v/>
      </c>
      <c r="X17" s="1393">
        <f>IFERROR(K17/K11,"n/a")</f>
        <v/>
      </c>
      <c r="Y17" s="1393">
        <f>IFERROR(L17/L11,"n/a")</f>
        <v/>
      </c>
      <c r="Z17" s="1393">
        <f>IFERROR(M17/M11,"n/a")</f>
        <v/>
      </c>
      <c r="AA17" s="1396">
        <f>IFERROR(N17/N11,"n/a")</f>
        <v/>
      </c>
      <c r="AB17" s="1405" t="n"/>
    </row>
    <row r="18" ht="12.75" customHeight="1" thickBot="1">
      <c r="B18" s="1384" t="n"/>
      <c r="C18" s="270" t="inlineStr">
        <is>
          <t>EBIT</t>
        </is>
      </c>
      <c r="D18" s="1408" t="n"/>
      <c r="E18" s="1409">
        <f>+E16+E17</f>
        <v/>
      </c>
      <c r="F18" s="1409">
        <f>+F16+F17</f>
        <v/>
      </c>
      <c r="G18" s="1409">
        <f>+G16+G17</f>
        <v/>
      </c>
      <c r="H18" s="1409">
        <f>+H16+H17</f>
        <v/>
      </c>
      <c r="I18" s="1410">
        <f>+I16+I17</f>
        <v/>
      </c>
      <c r="J18" s="1409">
        <f>+J16+J17</f>
        <v/>
      </c>
      <c r="K18" s="1409">
        <f>+K16+K17</f>
        <v/>
      </c>
      <c r="L18" s="1409">
        <f>+L16+L17</f>
        <v/>
      </c>
      <c r="M18" s="1409">
        <f>+M16+M17</f>
        <v/>
      </c>
      <c r="N18" s="1411">
        <f>+N16+N17</f>
        <v/>
      </c>
      <c r="O18" s="202" t="n"/>
      <c r="P18" s="270" t="inlineStr">
        <is>
          <t>EBIT</t>
        </is>
      </c>
      <c r="Q18" s="272" t="n"/>
      <c r="R18" s="1412">
        <f>IFERROR(E18/E11,"n/a")</f>
        <v/>
      </c>
      <c r="S18" s="1412">
        <f>IFERROR(F18/F11,"n/a")</f>
        <v/>
      </c>
      <c r="T18" s="1412">
        <f>IFERROR(G18/G11,"n/a")</f>
        <v/>
      </c>
      <c r="U18" s="1412">
        <f>IFERROR(H18/H11,"n/a")</f>
        <v/>
      </c>
      <c r="V18" s="1413">
        <f>IFERROR(I18/I11,"n/a")</f>
        <v/>
      </c>
      <c r="W18" s="1412">
        <f>IFERROR(J18/J11,"n/a")</f>
        <v/>
      </c>
      <c r="X18" s="1412">
        <f>IFERROR(K18/K11,"n/a")</f>
        <v/>
      </c>
      <c r="Y18" s="1412">
        <f>IFERROR(L18/L11,"n/a")</f>
        <v/>
      </c>
      <c r="Z18" s="1412">
        <f>IFERROR(M18/M11,"n/a")</f>
        <v/>
      </c>
      <c r="AA18" s="1414">
        <f>IFERROR(N18/N11,"n/a")</f>
        <v/>
      </c>
      <c r="AB18" s="1405" t="n"/>
    </row>
    <row r="19" ht="5.25" customFormat="1" customHeight="1" s="196" thickBot="1">
      <c r="B19" s="1384" t="n"/>
      <c r="C19" s="202" t="n"/>
      <c r="D19" s="202" t="n"/>
      <c r="E19" s="202" t="n"/>
      <c r="F19" s="202" t="n"/>
      <c r="G19" s="204" t="n"/>
      <c r="H19" s="204" t="n"/>
      <c r="I19" s="204" t="n"/>
      <c r="J19" s="204" t="n"/>
      <c r="K19" s="204" t="n"/>
      <c r="L19" s="204" t="n"/>
      <c r="M19" s="204" t="n"/>
      <c r="N19" s="204" t="n"/>
      <c r="O19" s="204" t="n"/>
      <c r="P19" s="204" t="n"/>
      <c r="Q19" s="204" t="n"/>
      <c r="R19" s="204" t="n"/>
      <c r="S19" s="204" t="n"/>
      <c r="T19" s="204" t="n"/>
      <c r="U19" s="202" t="n"/>
      <c r="V19" s="202" t="n"/>
      <c r="W19" s="202" t="n"/>
      <c r="X19" s="202" t="n"/>
      <c r="Y19" s="202" t="n"/>
      <c r="Z19" s="202" t="n"/>
      <c r="AA19" s="202" t="n"/>
    </row>
    <row r="20" ht="12.75" customFormat="1" customHeight="1" s="196" thickBot="1">
      <c r="B20" s="1384" t="n"/>
      <c r="C20" s="189">
        <f>"Cash Flow ("&amp;LBO!L14&amp;")"</f>
        <v/>
      </c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  <c r="O20" s="204" t="n"/>
      <c r="P20" s="189" t="inlineStr">
        <is>
          <t>Sources of Funds</t>
        </is>
      </c>
      <c r="Q20" s="186" t="n"/>
      <c r="R20" s="186" t="n"/>
      <c r="S20" s="186" t="n"/>
      <c r="T20" s="187" t="n"/>
      <c r="U20" s="189" t="inlineStr">
        <is>
          <t>Uses of Funds</t>
        </is>
      </c>
      <c r="V20" s="186" t="n"/>
      <c r="W20" s="186" t="n"/>
      <c r="X20" s="186" t="n"/>
      <c r="Y20" s="186" t="n"/>
      <c r="Z20" s="186" t="n"/>
      <c r="AA20" s="187" t="n"/>
    </row>
    <row r="21" ht="12.75" customFormat="1" customHeight="1" s="196" thickBot="1" thickTop="1">
      <c r="B21" s="1384" t="n"/>
      <c r="C21" s="266">
        <f>+C7</f>
        <v/>
      </c>
      <c r="D21" s="267" t="n"/>
      <c r="E21" s="1385">
        <f>+E7</f>
        <v/>
      </c>
      <c r="F21" s="1385">
        <f>+F7</f>
        <v/>
      </c>
      <c r="G21" s="1385">
        <f>+G7</f>
        <v/>
      </c>
      <c r="H21" s="1385">
        <f>+H7</f>
        <v/>
      </c>
      <c r="I21" s="1388">
        <f>+I7</f>
        <v/>
      </c>
      <c r="J21" s="1385">
        <f>+J7</f>
        <v/>
      </c>
      <c r="K21" s="1385">
        <f>+K7</f>
        <v/>
      </c>
      <c r="L21" s="1385">
        <f>+L7</f>
        <v/>
      </c>
      <c r="M21" s="1385">
        <f>+M7</f>
        <v/>
      </c>
      <c r="N21" s="1386">
        <f>+N7</f>
        <v/>
      </c>
      <c r="O21" s="204" t="n"/>
      <c r="P21" s="300" t="n"/>
      <c r="Q21" s="302" t="n"/>
      <c r="R21" s="301" t="inlineStr">
        <is>
          <t>GBPm</t>
        </is>
      </c>
      <c r="S21" s="301" t="n"/>
      <c r="T21" s="1415">
        <f>+LBO!F79&amp; " EBITDA"</f>
        <v/>
      </c>
      <c r="U21" s="300" t="n"/>
      <c r="V21" s="302" t="n"/>
      <c r="W21" s="302" t="n"/>
      <c r="X21" s="302" t="n"/>
      <c r="Y21" s="301" t="inlineStr">
        <is>
          <t>GBPm</t>
        </is>
      </c>
      <c r="Z21" s="302" t="n"/>
      <c r="AA21" s="1416">
        <f>+T21</f>
        <v/>
      </c>
    </row>
    <row r="22" ht="12.75" customFormat="1" customHeight="1" s="196" thickTop="1">
      <c r="B22" s="1384" t="n"/>
      <c r="C22" s="276">
        <f>C16</f>
        <v/>
      </c>
      <c r="D22" s="277" t="n"/>
      <c r="E22" s="1417">
        <f>+LBO!E207</f>
        <v/>
      </c>
      <c r="F22" s="1418">
        <f>+LBO!F207</f>
        <v/>
      </c>
      <c r="G22" s="1418">
        <f>+LBO!G207</f>
        <v/>
      </c>
      <c r="H22" s="1418">
        <f>+LBO!H207</f>
        <v/>
      </c>
      <c r="I22" s="1419">
        <f>+I16</f>
        <v/>
      </c>
      <c r="J22" s="1418">
        <f>+LBO!J207</f>
        <v/>
      </c>
      <c r="K22" s="1418">
        <f>+LBO!K207</f>
        <v/>
      </c>
      <c r="L22" s="1418">
        <f>+LBO!L207</f>
        <v/>
      </c>
      <c r="M22" s="1418">
        <f>+LBO!M207</f>
        <v/>
      </c>
      <c r="N22" s="1420">
        <f>+LBO!N207</f>
        <v/>
      </c>
      <c r="O22" s="204" t="n"/>
      <c r="P22" s="248">
        <f>+LBO!B81</f>
        <v/>
      </c>
      <c r="Q22" s="249" t="n"/>
      <c r="R22" s="1421">
        <f>+LBO!E81</f>
        <v/>
      </c>
      <c r="S22" s="1422">
        <f>+R22/$R$41</f>
        <v/>
      </c>
      <c r="T22" s="1423">
        <f>IFERROR((+R22/$AD$23),"n/a")</f>
        <v/>
      </c>
      <c r="U22" s="242">
        <f>+LBO!I81</f>
        <v/>
      </c>
      <c r="V22" s="249" t="n"/>
      <c r="W22" s="249" t="n"/>
      <c r="X22" s="249" t="n"/>
      <c r="Y22" s="1390">
        <f>+LBO!L81</f>
        <v/>
      </c>
      <c r="Z22" s="1422">
        <f>+Y22/$Y$41</f>
        <v/>
      </c>
      <c r="AA22" s="1424">
        <f>IFERROR((+Y22/$AD$23),"n/a")</f>
        <v/>
      </c>
      <c r="AD22" t="inlineStr">
        <is>
          <t>Valuation EBITDA for S&amp;U - change as needed</t>
        </is>
      </c>
    </row>
    <row r="23" ht="12.75" customFormat="1" customHeight="1" s="196">
      <c r="B23" s="1384" t="n"/>
      <c r="C23" s="231" t="inlineStr">
        <is>
          <t>Exceptionals</t>
        </is>
      </c>
      <c r="D23" s="205" t="n"/>
      <c r="E23" s="1390">
        <f>+LBO!E208</f>
        <v/>
      </c>
      <c r="F23" s="1390">
        <f>+LBO!F208</f>
        <v/>
      </c>
      <c r="G23" s="1390">
        <f>+LBO!G208</f>
        <v/>
      </c>
      <c r="H23" s="1390">
        <f>+LBO!H208</f>
        <v/>
      </c>
      <c r="I23" s="1391" t="n"/>
      <c r="J23" s="1390">
        <f>+LBO!J208</f>
        <v/>
      </c>
      <c r="K23" s="1390">
        <f>+LBO!K208</f>
        <v/>
      </c>
      <c r="L23" s="1390">
        <f>+LBO!L208</f>
        <v/>
      </c>
      <c r="M23" s="1390">
        <f>+LBO!M208</f>
        <v/>
      </c>
      <c r="N23" s="1392">
        <f>+LBO!N208</f>
        <v/>
      </c>
      <c r="O23" s="204" t="n"/>
      <c r="P23" s="248">
        <f>+LBO!B82</f>
        <v/>
      </c>
      <c r="Q23" s="240" t="n"/>
      <c r="R23" s="1421">
        <f>+LBO!E82</f>
        <v/>
      </c>
      <c r="S23" s="1422">
        <f>+R23/$R$41</f>
        <v/>
      </c>
      <c r="T23" s="1423">
        <f>IFERROR((+R23/$AD$23),"n/a")</f>
        <v/>
      </c>
      <c r="U23" s="242">
        <f>+LBO!I82</f>
        <v/>
      </c>
      <c r="V23" s="255" t="n"/>
      <c r="W23" s="1425" t="n"/>
      <c r="X23" s="1425" t="n"/>
      <c r="Y23" s="1390">
        <f>+LBO!L82</f>
        <v/>
      </c>
      <c r="Z23" s="1422">
        <f>+Y23/$Y$41</f>
        <v/>
      </c>
      <c r="AA23" s="1424">
        <f>IFERROR((+Y23/$AD$23),"n/a")</f>
        <v/>
      </c>
      <c r="AD23" s="1426">
        <f>+H16</f>
        <v/>
      </c>
    </row>
    <row r="24" ht="12.75" customFormat="1" customHeight="1" s="196">
      <c r="B24" s="1384" t="n"/>
      <c r="C24" s="231" t="inlineStr">
        <is>
          <t>Changes in NWC</t>
        </is>
      </c>
      <c r="D24" s="205" t="n"/>
      <c r="E24" s="1390">
        <f>+LBO!E209</f>
        <v/>
      </c>
      <c r="F24" s="1390">
        <f>+LBO!F209</f>
        <v/>
      </c>
      <c r="G24" s="1390">
        <f>+LBO!G209</f>
        <v/>
      </c>
      <c r="H24" s="1390">
        <f>+LBO!H209</f>
        <v/>
      </c>
      <c r="I24" s="1391" t="n"/>
      <c r="J24" s="1390">
        <f>+LBO!J209</f>
        <v/>
      </c>
      <c r="K24" s="1390">
        <f>+LBO!K209</f>
        <v/>
      </c>
      <c r="L24" s="1390">
        <f>+LBO!L209</f>
        <v/>
      </c>
      <c r="M24" s="1390">
        <f>+LBO!M209</f>
        <v/>
      </c>
      <c r="N24" s="1392">
        <f>+LBO!N209</f>
        <v/>
      </c>
      <c r="O24" s="204" t="n"/>
      <c r="P24" s="260">
        <f>+LBO!B83</f>
        <v/>
      </c>
      <c r="Q24" s="249" t="n"/>
      <c r="R24" s="1421">
        <f>+LBO!E83</f>
        <v/>
      </c>
      <c r="S24" s="1422">
        <f>+R24/$R$41</f>
        <v/>
      </c>
      <c r="T24" s="1423">
        <f>IFERROR((+R24/$AD$23),"n/a")</f>
        <v/>
      </c>
      <c r="U24" s="519">
        <f>+LBO!I83</f>
        <v/>
      </c>
      <c r="V24" s="520" t="n"/>
      <c r="W24" s="520" t="n"/>
      <c r="X24" s="520" t="n"/>
      <c r="Y24" s="1427">
        <f>SUM(Y22:Y23)</f>
        <v/>
      </c>
      <c r="Z24" s="1428">
        <f>+Y24/$Y$41</f>
        <v/>
      </c>
      <c r="AA24" s="1429">
        <f>IFERROR((+Y24/$AD$23),"n/a")</f>
        <v/>
      </c>
    </row>
    <row r="25" ht="12.75" customFormat="1" customHeight="1" s="196">
      <c r="B25" s="1384" t="n"/>
      <c r="C25" s="215" t="inlineStr">
        <is>
          <t>Operating cash flow</t>
        </is>
      </c>
      <c r="D25" s="1398" t="n"/>
      <c r="E25" s="1398">
        <f>+E22+E23+E24</f>
        <v/>
      </c>
      <c r="F25" s="1398">
        <f>+F22+F23+F24</f>
        <v/>
      </c>
      <c r="G25" s="1398">
        <f>+G22+G23+G24</f>
        <v/>
      </c>
      <c r="H25" s="1398">
        <f>+H22+H23+H24</f>
        <v/>
      </c>
      <c r="I25" s="1399">
        <f>+I22+I23+I24</f>
        <v/>
      </c>
      <c r="J25" s="1398">
        <f>+J22+J23+J24</f>
        <v/>
      </c>
      <c r="K25" s="1398">
        <f>+K22+K23+K24</f>
        <v/>
      </c>
      <c r="L25" s="1398">
        <f>+L22+L23+L24</f>
        <v/>
      </c>
      <c r="M25" s="1398">
        <f>+M22+M23+M24</f>
        <v/>
      </c>
      <c r="N25" s="1400">
        <f>+N22+N23+N24</f>
        <v/>
      </c>
      <c r="O25" s="204" t="n"/>
      <c r="P25" s="242" t="n"/>
      <c r="Q25" s="203" t="n"/>
      <c r="S25" s="1390" t="n"/>
      <c r="T25" s="1430" t="n"/>
      <c r="U25" s="254" t="n"/>
      <c r="V25" s="255" t="n"/>
      <c r="W25" s="1425" t="n"/>
      <c r="X25" s="1425" t="n"/>
      <c r="Y25" s="1421" t="n"/>
      <c r="Z25" s="203" t="n"/>
      <c r="AA25" s="1424" t="n"/>
    </row>
    <row r="26" ht="12.75" customFormat="1" customHeight="1" s="196">
      <c r="B26" s="1384" t="n"/>
      <c r="C26" s="231" t="inlineStr">
        <is>
          <t>Capex</t>
        </is>
      </c>
      <c r="D26" s="205" t="n"/>
      <c r="E26" s="1390">
        <f>+LBO!E212</f>
        <v/>
      </c>
      <c r="F26" s="1390">
        <f>+LBO!F212</f>
        <v/>
      </c>
      <c r="G26" s="1390">
        <f>+LBO!G212</f>
        <v/>
      </c>
      <c r="H26" s="1390">
        <f>+LBO!H212</f>
        <v/>
      </c>
      <c r="I26" s="1391" t="n"/>
      <c r="J26" s="1390">
        <f>+LBO!J212</f>
        <v/>
      </c>
      <c r="K26" s="1390">
        <f>+LBO!K212</f>
        <v/>
      </c>
      <c r="L26" s="1390">
        <f>+LBO!L212</f>
        <v/>
      </c>
      <c r="M26" s="1390">
        <f>+LBO!M212</f>
        <v/>
      </c>
      <c r="N26" s="1392">
        <f>+LBO!N212</f>
        <v/>
      </c>
      <c r="O26" s="204" t="n"/>
      <c r="P26" s="210">
        <f>+LBO!B85</f>
        <v/>
      </c>
      <c r="Q26" s="1422">
        <f>+R26/$R$30</f>
        <v/>
      </c>
      <c r="R26" s="1390">
        <f>+LBO!E85</f>
        <v/>
      </c>
      <c r="S26" s="1422">
        <f>+R26/$R$41</f>
        <v/>
      </c>
      <c r="T26" s="1430">
        <f>IFERROR((+R26/$AD$23),"n/a")</f>
        <v/>
      </c>
      <c r="U26" s="533">
        <f>+LBO!I85</f>
        <v/>
      </c>
      <c r="V26" s="532" t="n"/>
      <c r="W26" s="532" t="n"/>
      <c r="X26" s="532" t="n"/>
      <c r="Y26" s="1421">
        <f>+LBO!L85</f>
        <v/>
      </c>
      <c r="Z26" s="1422">
        <f>+Y26/$Y$41</f>
        <v/>
      </c>
      <c r="AA26" s="1431">
        <f>IFERROR((+Y26/$AD$23),"n/a")</f>
        <v/>
      </c>
    </row>
    <row r="27" ht="12.75" customFormat="1" customHeight="1" s="196">
      <c r="B27" s="1384" t="n"/>
      <c r="C27" s="231" t="inlineStr">
        <is>
          <t>Cash Tax</t>
        </is>
      </c>
      <c r="D27" s="205" t="n"/>
      <c r="E27" s="353" t="n"/>
      <c r="F27" s="353" t="n"/>
      <c r="G27" s="353" t="n"/>
      <c r="H27" s="353" t="n"/>
      <c r="I27" s="484" t="n"/>
      <c r="J27" s="1390">
        <f>+LBO!J217</f>
        <v/>
      </c>
      <c r="K27" s="1390">
        <f>+LBO!K217</f>
        <v/>
      </c>
      <c r="L27" s="1390">
        <f>+LBO!L217</f>
        <v/>
      </c>
      <c r="M27" s="1390">
        <f>+LBO!M217</f>
        <v/>
      </c>
      <c r="N27" s="1392">
        <f>+LBO!N217</f>
        <v/>
      </c>
      <c r="O27" s="204" t="n"/>
      <c r="P27" s="210">
        <f>+LBO!B86</f>
        <v/>
      </c>
      <c r="Q27" s="1422">
        <f>+R27/$R$30</f>
        <v/>
      </c>
      <c r="R27" s="1390">
        <f>+LBO!E86</f>
        <v/>
      </c>
      <c r="S27" s="1422">
        <f>+R27/$R$41</f>
        <v/>
      </c>
      <c r="T27" s="1430">
        <f>IFERROR((+R27/$AD$23),"n/a")</f>
        <v/>
      </c>
      <c r="U27" s="269" t="n"/>
      <c r="Z27" s="202" t="n"/>
      <c r="AA27" s="1432" t="n"/>
    </row>
    <row r="28" ht="12.75" customFormat="1" customHeight="1" s="196">
      <c r="B28" s="1384" t="n"/>
      <c r="C28" s="231" t="inlineStr">
        <is>
          <t>Blixt management fee</t>
        </is>
      </c>
      <c r="D28" s="205" t="n"/>
      <c r="E28" s="353" t="n"/>
      <c r="F28" s="353" t="n"/>
      <c r="G28" s="353" t="n"/>
      <c r="H28" s="353" t="n"/>
      <c r="I28" s="484" t="n"/>
      <c r="J28" s="1390">
        <f>LBO!J218</f>
        <v/>
      </c>
      <c r="K28" s="1390">
        <f>LBO!K218</f>
        <v/>
      </c>
      <c r="L28" s="1390">
        <f>LBO!L218</f>
        <v/>
      </c>
      <c r="M28" s="1390">
        <f>LBO!M218</f>
        <v/>
      </c>
      <c r="N28" s="1392">
        <f>LBO!N218</f>
        <v/>
      </c>
      <c r="O28" s="204" t="n"/>
      <c r="P28" s="210">
        <f>+LBO!B87</f>
        <v/>
      </c>
      <c r="Q28" s="1422">
        <f>+R28/$R$30</f>
        <v/>
      </c>
      <c r="R28" s="1390">
        <f>+LBO!E87</f>
        <v/>
      </c>
      <c r="S28" s="1422">
        <f>+R28/$R$41</f>
        <v/>
      </c>
      <c r="T28" s="1430">
        <f>IFERROR((+R28/$AD$23),"n/a")</f>
        <v/>
      </c>
      <c r="U28" s="269" t="n"/>
      <c r="Z28" s="202" t="n"/>
      <c r="AA28" s="1432" t="n"/>
    </row>
    <row r="29" ht="12.75" customFormat="1" customHeight="1" s="196">
      <c r="B29" s="1384" t="n"/>
      <c r="C29" s="231" t="inlineStr">
        <is>
          <t>Earn out (platform investment)</t>
        </is>
      </c>
      <c r="D29" s="205" t="n"/>
      <c r="E29" s="353" t="n"/>
      <c r="F29" s="353" t="n"/>
      <c r="G29" s="353" t="n"/>
      <c r="H29" s="353" t="n"/>
      <c r="I29" s="484" t="n"/>
      <c r="J29" s="1390">
        <f>LBO!J219</f>
        <v/>
      </c>
      <c r="K29" s="1390">
        <f>LBO!K219</f>
        <v/>
      </c>
      <c r="L29" s="1390">
        <f>LBO!L219</f>
        <v/>
      </c>
      <c r="M29" s="1390">
        <f>LBO!M219</f>
        <v/>
      </c>
      <c r="N29" s="1392">
        <f>LBO!N219</f>
        <v/>
      </c>
      <c r="O29" s="204" t="n"/>
      <c r="P29" s="210">
        <f>+LBO!B88</f>
        <v/>
      </c>
      <c r="Q29" s="1422">
        <f>+R29/$R$30</f>
        <v/>
      </c>
      <c r="R29" s="1390">
        <f>+LBO!E88</f>
        <v/>
      </c>
      <c r="S29" s="1422">
        <f>+R29/$R$41</f>
        <v/>
      </c>
      <c r="T29" s="1430">
        <f>IFERROR((+R29/$AD$23),"n/a")</f>
        <v/>
      </c>
      <c r="U29" s="242" t="n"/>
      <c r="V29" s="203" t="n"/>
      <c r="W29" s="1433" t="n"/>
      <c r="X29" s="1433" t="n"/>
      <c r="Y29" s="1390" t="n"/>
      <c r="Z29" s="203" t="n"/>
      <c r="AA29" s="1424" t="n"/>
    </row>
    <row r="30" ht="12.75" customFormat="1" customHeight="1" s="196">
      <c r="B30" s="1384" t="n"/>
      <c r="C30" s="231" t="inlineStr">
        <is>
          <t>M&amp;A</t>
        </is>
      </c>
      <c r="D30" s="205" t="n"/>
      <c r="E30" s="353" t="n"/>
      <c r="F30" s="353" t="n"/>
      <c r="G30" s="353" t="n"/>
      <c r="H30" s="353" t="n"/>
      <c r="I30" s="484" t="n"/>
      <c r="J30" s="1390">
        <f>LBO!J220</f>
        <v/>
      </c>
      <c r="K30" s="1390">
        <f>LBO!K220</f>
        <v/>
      </c>
      <c r="L30" s="1390">
        <f>LBO!L220</f>
        <v/>
      </c>
      <c r="M30" s="1390">
        <f>LBO!M220</f>
        <v/>
      </c>
      <c r="N30" s="1392">
        <f>LBO!N220</f>
        <v/>
      </c>
      <c r="O30" s="204" t="n"/>
      <c r="P30" s="529">
        <f>+LBO!B89</f>
        <v/>
      </c>
      <c r="Q30" s="1434">
        <f>+R30/$R$30</f>
        <v/>
      </c>
      <c r="R30" s="1435">
        <f>SUM(R26:R29)</f>
        <v/>
      </c>
      <c r="S30" s="1428">
        <f>+R30/$R$41</f>
        <v/>
      </c>
      <c r="T30" s="1436">
        <f>IFERROR((+R30/$AD$23),"n/a")</f>
        <v/>
      </c>
      <c r="U30" s="242" t="n"/>
      <c r="V30" s="203" t="n"/>
      <c r="W30" s="1433" t="n"/>
      <c r="X30" s="1433" t="n"/>
      <c r="Y30" s="1390" t="n"/>
      <c r="Z30" s="203" t="n"/>
      <c r="AA30" s="1424" t="n"/>
    </row>
    <row r="31" ht="12.75" customFormat="1" customHeight="1" s="196">
      <c r="B31" s="1384" t="n"/>
      <c r="C31" s="215" t="inlineStr">
        <is>
          <t>Cash available for debt service</t>
        </is>
      </c>
      <c r="D31" s="1398" t="n"/>
      <c r="E31" s="1398">
        <f>+SUM(E25:E30)</f>
        <v/>
      </c>
      <c r="F31" s="1398">
        <f>+SUM(F25:F30)</f>
        <v/>
      </c>
      <c r="G31" s="1398">
        <f>+SUM(G25:G30)</f>
        <v/>
      </c>
      <c r="H31" s="1398">
        <f>+SUM(H25:H30)</f>
        <v/>
      </c>
      <c r="I31" s="1399">
        <f>+SUM(I25:I30)</f>
        <v/>
      </c>
      <c r="J31" s="1398">
        <f>+SUM(J25:J30)</f>
        <v/>
      </c>
      <c r="K31" s="1398">
        <f>+SUM(K25:K30)</f>
        <v/>
      </c>
      <c r="L31" s="1398">
        <f>+SUM(L25:L30)</f>
        <v/>
      </c>
      <c r="M31" s="1398">
        <f>+SUM(M25:M30)</f>
        <v/>
      </c>
      <c r="N31" s="1400">
        <f>+SUM(N25:N30)</f>
        <v/>
      </c>
      <c r="O31" s="204" t="n"/>
      <c r="P31" s="269" t="n"/>
      <c r="T31" s="482" t="n"/>
      <c r="U31" s="242" t="n"/>
      <c r="V31" s="203" t="n"/>
      <c r="W31" s="1433" t="n"/>
      <c r="X31" s="1433" t="n"/>
      <c r="Y31" s="1390" t="n"/>
      <c r="Z31" s="203" t="n"/>
      <c r="AA31" s="1424" t="n"/>
    </row>
    <row r="32" ht="12.75" customFormat="1" customHeight="1" s="196">
      <c r="B32" s="1384" t="n"/>
      <c r="C32" s="231" t="n"/>
      <c r="D32" s="205" t="n"/>
      <c r="E32" s="205" t="n"/>
      <c r="F32" s="202" t="n"/>
      <c r="G32" s="1437" t="n"/>
      <c r="H32" s="1437" t="n"/>
      <c r="I32" s="1438" t="n"/>
      <c r="J32" s="1439" t="n"/>
      <c r="K32" s="1440" t="n"/>
      <c r="L32" s="1439" t="n"/>
      <c r="M32" s="1439" t="n"/>
      <c r="N32" s="1441" t="n"/>
      <c r="O32" s="204" t="n"/>
      <c r="P32" s="210">
        <f>+LBO!B91</f>
        <v/>
      </c>
      <c r="Q32" s="1422">
        <f>+R32/$R$36</f>
        <v/>
      </c>
      <c r="R32" s="1390">
        <f>+LBO!E91</f>
        <v/>
      </c>
      <c r="S32" s="1422">
        <f>+R32/$R$41</f>
        <v/>
      </c>
      <c r="T32" s="1430">
        <f>IFERROR((+R32/$AD$23),"n/a")</f>
        <v/>
      </c>
      <c r="U32" s="242" t="n"/>
      <c r="V32" s="203" t="n"/>
      <c r="W32" s="203" t="n"/>
      <c r="X32" s="203" t="n"/>
      <c r="Y32" s="203" t="n"/>
      <c r="Z32" s="203" t="n"/>
      <c r="AA32" s="1424" t="n"/>
    </row>
    <row r="33" ht="12.75" customFormat="1" customHeight="1" s="196">
      <c r="B33" s="1384" t="n"/>
      <c r="C33" s="231" t="inlineStr">
        <is>
          <t>Interest expense</t>
        </is>
      </c>
      <c r="D33" s="239" t="n"/>
      <c r="E33" s="353" t="n"/>
      <c r="F33" s="353" t="n"/>
      <c r="G33" s="353" t="n"/>
      <c r="H33" s="353" t="n"/>
      <c r="I33" s="484" t="n"/>
      <c r="J33" s="1442">
        <f>+LBO!J224+LBO!J230</f>
        <v/>
      </c>
      <c r="K33" s="1442">
        <f>+LBO!K224+LBO!K230</f>
        <v/>
      </c>
      <c r="L33" s="1442">
        <f>+LBO!L224+LBO!L230</f>
        <v/>
      </c>
      <c r="M33" s="1442">
        <f>+LBO!M224+LBO!M230</f>
        <v/>
      </c>
      <c r="N33" s="1443">
        <f>+LBO!N224+LBO!N230</f>
        <v/>
      </c>
      <c r="O33" s="204" t="n"/>
      <c r="P33" s="210">
        <f>+LBO!B92</f>
        <v/>
      </c>
      <c r="Q33" s="1422">
        <f>+R33/$R$36</f>
        <v/>
      </c>
      <c r="R33" s="1390">
        <f>+LBO!E92</f>
        <v/>
      </c>
      <c r="S33" s="1422">
        <f>+R33/$R$41</f>
        <v/>
      </c>
      <c r="T33" s="1430">
        <f>IFERROR((+R33/$AD$23),"n/a")</f>
        <v/>
      </c>
      <c r="U33" s="242" t="n"/>
      <c r="V33" s="203" t="n"/>
      <c r="W33" s="203" t="n"/>
      <c r="X33" s="203" t="n"/>
      <c r="Y33" s="203" t="n"/>
      <c r="Z33" s="203" t="n"/>
      <c r="AA33" s="1424" t="n"/>
    </row>
    <row r="34" ht="12.75" customFormat="1" customHeight="1" s="196">
      <c r="B34" s="1384" t="n"/>
      <c r="C34" s="231" t="inlineStr">
        <is>
          <t>Debt draw down / (repayment)</t>
        </is>
      </c>
      <c r="D34" s="205" t="n"/>
      <c r="E34" s="353" t="n"/>
      <c r="F34" s="353" t="n"/>
      <c r="G34" s="353" t="n"/>
      <c r="H34" s="353" t="n"/>
      <c r="I34" s="484" t="n"/>
      <c r="J34" s="1442">
        <f>+LBO!J223+LBO!J225+LBO!J226+LBO!J229</f>
        <v/>
      </c>
      <c r="K34" s="1442">
        <f>+LBO!K223+LBO!K225+LBO!K226+LBO!K229</f>
        <v/>
      </c>
      <c r="L34" s="1442">
        <f>+LBO!L223+LBO!L225+LBO!L226+LBO!L229</f>
        <v/>
      </c>
      <c r="M34" s="1442">
        <f>+LBO!M223+LBO!M225+LBO!M226+LBO!M229</f>
        <v/>
      </c>
      <c r="N34" s="1443">
        <f>+LBO!N223+LBO!N225+LBO!N226+LBO!N229</f>
        <v/>
      </c>
      <c r="O34" s="204" t="n"/>
      <c r="P34" s="210">
        <f>+LBO!B93</f>
        <v/>
      </c>
      <c r="Q34" s="1422">
        <f>+R34/$R$36</f>
        <v/>
      </c>
      <c r="R34" s="1390">
        <f>+LBO!E93</f>
        <v/>
      </c>
      <c r="S34" s="1422">
        <f>+R34/$R$41</f>
        <v/>
      </c>
      <c r="T34" s="1430">
        <f>IFERROR((+R34/$AD$23),"n/a")</f>
        <v/>
      </c>
      <c r="U34" s="242" t="n"/>
      <c r="V34" s="203" t="n"/>
      <c r="W34" s="203" t="n"/>
      <c r="X34" s="203" t="n"/>
      <c r="Y34" s="203" t="n"/>
      <c r="Z34" s="203" t="n"/>
      <c r="AA34" s="1424" t="n"/>
    </row>
    <row r="35" ht="12.75" customFormat="1" customHeight="1" s="196">
      <c r="B35" s="1384" t="n"/>
      <c r="C35" s="231" t="inlineStr">
        <is>
          <t>Blixt equity injection</t>
        </is>
      </c>
      <c r="D35" s="240" t="n"/>
      <c r="E35" s="353" t="n"/>
      <c r="F35" s="353" t="n"/>
      <c r="G35" s="353" t="n"/>
      <c r="H35" s="353" t="n"/>
      <c r="I35" s="484" t="n"/>
      <c r="J35" s="1442">
        <f>+LBO!J231</f>
        <v/>
      </c>
      <c r="K35" s="1442">
        <f>+LBO!K231</f>
        <v/>
      </c>
      <c r="L35" s="1442">
        <f>+LBO!L231</f>
        <v/>
      </c>
      <c r="M35" s="1442">
        <f>+LBO!M231</f>
        <v/>
      </c>
      <c r="N35" s="1443">
        <f>+LBO!N231</f>
        <v/>
      </c>
      <c r="O35" s="204" t="n"/>
      <c r="P35" s="210">
        <f>+LBO!B94</f>
        <v/>
      </c>
      <c r="Q35" s="1422">
        <f>+R35/$R$36</f>
        <v/>
      </c>
      <c r="R35" s="1390">
        <f>+LBO!E94</f>
        <v/>
      </c>
      <c r="S35" s="1422">
        <f>+R35/$R$41</f>
        <v/>
      </c>
      <c r="T35" s="1430">
        <f>IFERROR((+R35/$AD$23),"n/a")</f>
        <v/>
      </c>
      <c r="U35" s="242" t="n"/>
      <c r="V35" s="203" t="n"/>
      <c r="W35" s="203" t="n"/>
      <c r="X35" s="203" t="n"/>
      <c r="Y35" s="203" t="n"/>
      <c r="Z35" s="203" t="n"/>
      <c r="AA35" s="1424" t="n"/>
    </row>
    <row r="36" ht="12.75" customFormat="1" customHeight="1" s="196">
      <c r="B36" s="1384" t="n"/>
      <c r="C36" s="215" t="inlineStr">
        <is>
          <t>Cash Generation</t>
        </is>
      </c>
      <c r="D36" s="1398" t="n"/>
      <c r="E36" s="1398">
        <f>+E31+SUM(E33:E35)</f>
        <v/>
      </c>
      <c r="F36" s="1398">
        <f>+F31+SUM(F33:F35)</f>
        <v/>
      </c>
      <c r="G36" s="1398">
        <f>+G31+SUM(G33:G35)</f>
        <v/>
      </c>
      <c r="H36" s="1398">
        <f>+H31+SUM(H33:H35)</f>
        <v/>
      </c>
      <c r="I36" s="1399">
        <f>+I31+SUM(I33:I35)</f>
        <v/>
      </c>
      <c r="J36" s="1398">
        <f>+J31+SUM(J33:J35)</f>
        <v/>
      </c>
      <c r="K36" s="1398">
        <f>+K31+SUM(K33:K35)</f>
        <v/>
      </c>
      <c r="L36" s="1398">
        <f>+L31+SUM(L33:L35)</f>
        <v/>
      </c>
      <c r="M36" s="1398">
        <f>+M31+SUM(M33:M35)</f>
        <v/>
      </c>
      <c r="N36" s="1400">
        <f>+N31+SUM(N33:N35)</f>
        <v/>
      </c>
      <c r="O36" s="204" t="n"/>
      <c r="P36" s="529">
        <f>+LBO!B95</f>
        <v/>
      </c>
      <c r="Q36" s="1434">
        <f>+R36/$R$36</f>
        <v/>
      </c>
      <c r="R36" s="1435">
        <f>SUM(R32:R35)</f>
        <v/>
      </c>
      <c r="S36" s="1428">
        <f>+R36/$R$41</f>
        <v/>
      </c>
      <c r="T36" s="1436">
        <f>IFERROR((+R36/$AD$23),"n/a")</f>
        <v/>
      </c>
      <c r="U36" s="242" t="n"/>
      <c r="V36" s="203" t="n"/>
      <c r="W36" s="203" t="n"/>
      <c r="X36" s="203" t="n"/>
      <c r="Y36" s="203" t="n"/>
      <c r="Z36" s="203" t="n"/>
      <c r="AA36" s="1424" t="n"/>
    </row>
    <row r="37" ht="12.75" customFormat="1" customHeight="1" s="196">
      <c r="B37" s="1384" t="n"/>
      <c r="C37" s="215" t="inlineStr">
        <is>
          <t>Cash Balance</t>
        </is>
      </c>
      <c r="D37" s="1398" t="n"/>
      <c r="E37" s="1398" t="n"/>
      <c r="F37" s="1398" t="n"/>
      <c r="G37" s="1398" t="n"/>
      <c r="H37" s="1398" t="n"/>
      <c r="I37" s="1399" t="n"/>
      <c r="J37" s="1398">
        <f>+LBO!J235</f>
        <v/>
      </c>
      <c r="K37" s="1398">
        <f>+LBO!K235</f>
        <v/>
      </c>
      <c r="L37" s="1398">
        <f>+LBO!L235</f>
        <v/>
      </c>
      <c r="M37" s="1398">
        <f>+LBO!M235</f>
        <v/>
      </c>
      <c r="N37" s="1400">
        <f>+LBO!N235</f>
        <v/>
      </c>
      <c r="O37" s="204" t="n"/>
      <c r="P37" s="269" t="n"/>
      <c r="U37" s="242" t="n"/>
      <c r="V37" s="203" t="n"/>
      <c r="W37" s="203" t="n"/>
      <c r="X37" s="203" t="n"/>
      <c r="Y37" s="203" t="n"/>
      <c r="Z37" s="203" t="n"/>
      <c r="AA37" s="1424" t="n"/>
    </row>
    <row r="38" ht="12.75" customFormat="1" customHeight="1" s="196">
      <c r="B38" s="1384" t="n"/>
      <c r="C38" s="269" t="n"/>
      <c r="I38" s="483" t="n"/>
      <c r="N38" s="482" t="n"/>
      <c r="O38" s="204" t="n"/>
      <c r="P38" s="260">
        <f>+LBO!B98</f>
        <v/>
      </c>
      <c r="Q38" s="532" t="n"/>
      <c r="R38" s="1421">
        <f>+LBO!E98</f>
        <v/>
      </c>
      <c r="S38" s="1422">
        <f>+R38/$R$41</f>
        <v/>
      </c>
      <c r="T38" s="1423">
        <f>IFERROR((+R38/$AD$23),"n/a")</f>
        <v/>
      </c>
      <c r="U38" s="269" t="n"/>
      <c r="AA38" s="482" t="n"/>
    </row>
    <row r="39" ht="12.75" customFormat="1" customHeight="1" s="196">
      <c r="B39" s="1384" t="n"/>
      <c r="C39" s="231" t="inlineStr">
        <is>
          <t>OCF conversion %</t>
        </is>
      </c>
      <c r="D39" s="205" t="n"/>
      <c r="E39" s="353" t="n"/>
      <c r="F39" s="353" t="n"/>
      <c r="G39" s="353" t="n"/>
      <c r="H39" s="495" t="n"/>
      <c r="I39" s="484" t="n"/>
      <c r="J39" s="1444">
        <f>IFERROR(+J25/J22,"n/a")</f>
        <v/>
      </c>
      <c r="K39" s="1444">
        <f>IFERROR(+K25/K22,"n/a")</f>
        <v/>
      </c>
      <c r="L39" s="1444">
        <f>IFERROR(+L25/L22,"n/a")</f>
        <v/>
      </c>
      <c r="M39" s="1444">
        <f>IFERROR(+M25/M22,"n/a")</f>
        <v/>
      </c>
      <c r="N39" s="1445">
        <f>IFERROR(+N25/N22,"n/a")</f>
        <v/>
      </c>
      <c r="O39" s="204" t="n"/>
      <c r="P39" s="269" t="n"/>
      <c r="U39" s="269" t="n"/>
      <c r="AA39" s="482" t="n"/>
    </row>
    <row r="40" ht="12.75" customFormat="1" customHeight="1" s="196">
      <c r="B40" s="1384" t="n"/>
      <c r="C40" s="231" t="inlineStr">
        <is>
          <t>FCF conversion %</t>
        </is>
      </c>
      <c r="D40" s="205" t="n"/>
      <c r="E40" s="353" t="n"/>
      <c r="F40" s="353" t="n"/>
      <c r="G40" s="353" t="n"/>
      <c r="H40" s="495" t="n"/>
      <c r="I40" s="484" t="n"/>
      <c r="J40" s="1444">
        <f>IFERROR(+J31/J22,"n/a")</f>
        <v/>
      </c>
      <c r="K40" s="1444">
        <f>IFERROR(+K31/K22,"n/a")</f>
        <v/>
      </c>
      <c r="L40" s="1444">
        <f>IFERROR(+L31/L22,"n/a")</f>
        <v/>
      </c>
      <c r="M40" s="1444">
        <f>IFERROR(+M31/M22,"n/a")</f>
        <v/>
      </c>
      <c r="N40" s="1445">
        <f>IFERROR(+N31/N22,"n/a")</f>
        <v/>
      </c>
      <c r="O40" s="204" t="n"/>
      <c r="P40" s="523" t="inlineStr">
        <is>
          <t xml:space="preserve">Memo: Blixt day 1 cheque </t>
        </is>
      </c>
      <c r="R40" s="1446">
        <f>+R24+R26+R32</f>
        <v/>
      </c>
      <c r="S40" s="525" t="n"/>
      <c r="T40" s="1447">
        <f>IFERROR((+R40/$AD$23),"n/a")</f>
        <v/>
      </c>
      <c r="U40" s="269" t="n"/>
      <c r="AA40" s="482" t="n"/>
    </row>
    <row r="41" ht="12.75" customFormat="1" customHeight="1" s="196" thickBot="1">
      <c r="B41" s="1384" t="n"/>
      <c r="C41" s="481" t="n"/>
      <c r="D41" s="232" t="n"/>
      <c r="E41" s="669" t="n"/>
      <c r="F41" s="669" t="n"/>
      <c r="G41" s="669" t="n"/>
      <c r="H41" s="669" t="n"/>
      <c r="I41" s="670" t="n"/>
      <c r="J41" s="1448" t="n"/>
      <c r="K41" s="1448" t="n"/>
      <c r="L41" s="1448" t="n"/>
      <c r="M41" s="1448" t="n"/>
      <c r="N41" s="1449" t="n"/>
      <c r="O41" s="204" t="n"/>
      <c r="P41" s="244" t="inlineStr">
        <is>
          <t>Total Sources</t>
        </is>
      </c>
      <c r="Q41" s="1409" t="n"/>
      <c r="R41" s="1409">
        <f>+R22+R23+R24+R30+R36+R38</f>
        <v/>
      </c>
      <c r="S41" s="1409" t="n"/>
      <c r="T41" s="1450">
        <f>IFERROR((+R41/$AD$23),"n/a")</f>
        <v/>
      </c>
      <c r="U41" s="1451" t="inlineStr">
        <is>
          <t>Total Uses</t>
        </is>
      </c>
      <c r="V41" s="1409" t="n"/>
      <c r="W41" s="1409" t="n"/>
      <c r="X41" s="1409" t="n"/>
      <c r="Y41" s="1409">
        <f>+Y24+Y26</f>
        <v/>
      </c>
      <c r="Z41" s="1409" t="n"/>
      <c r="AA41" s="1452">
        <f>IFERROR((+Y41/$AD$23),"n/a")</f>
        <v/>
      </c>
    </row>
    <row r="42" ht="5.25" customFormat="1" customHeight="1" s="196" thickBot="1">
      <c r="B42" s="1384" t="n"/>
      <c r="C42" s="240" t="n"/>
      <c r="D42" s="240" t="n"/>
      <c r="E42" s="205" t="n"/>
      <c r="F42" s="205" t="n"/>
      <c r="G42" s="1437" t="n"/>
      <c r="H42" s="1453" t="n"/>
      <c r="I42" s="1453" t="n"/>
      <c r="J42" s="1453" t="n"/>
      <c r="K42" s="1453" t="n"/>
      <c r="L42" s="1453" t="n"/>
      <c r="M42" s="1453" t="n"/>
      <c r="N42" s="1453" t="n"/>
      <c r="O42" s="204" t="n"/>
      <c r="P42" s="204" t="n"/>
      <c r="Q42" s="204" t="n"/>
      <c r="R42" s="204" t="n"/>
      <c r="S42" s="204" t="n"/>
      <c r="T42" s="204" t="n"/>
      <c r="U42" s="202" t="n"/>
      <c r="V42" s="202" t="n"/>
      <c r="W42" s="202" t="n"/>
      <c r="X42" s="202" t="n"/>
      <c r="Y42" s="202" t="n"/>
      <c r="Z42" s="202" t="n"/>
      <c r="AA42" s="202" t="n"/>
    </row>
    <row r="43" ht="12.75" customFormat="1" customHeight="1" s="196" thickBot="1">
      <c r="B43" s="1384" t="n"/>
      <c r="C43" s="189" t="inlineStr">
        <is>
          <t>Entry Multiple Analysis</t>
        </is>
      </c>
      <c r="D43" s="186" t="n"/>
      <c r="E43" s="186" t="n"/>
      <c r="F43" s="186" t="n"/>
      <c r="G43" s="187" t="n"/>
      <c r="H43" s="189">
        <f>"Waterfall &amp; Indicative Returns ("&amp;LBO!L14&amp;")"</f>
        <v/>
      </c>
      <c r="I43" s="186" t="n"/>
      <c r="J43" s="186" t="n"/>
      <c r="K43" s="186" t="n"/>
      <c r="L43" s="186" t="n"/>
      <c r="M43" s="186" t="n"/>
      <c r="N43" s="187" t="n"/>
      <c r="O43" s="204" t="n"/>
      <c r="P43" s="189">
        <f>+"Returns bridge "&amp;TEXT(LBO!E468,"yyy")</f>
        <v/>
      </c>
      <c r="Q43" s="186" t="n"/>
      <c r="R43" s="186" t="n"/>
      <c r="S43" s="186" t="n"/>
      <c r="T43" s="187" t="n"/>
      <c r="U43" s="189" t="n"/>
      <c r="V43" s="186" t="n"/>
      <c r="W43" s="186" t="n"/>
      <c r="X43" s="186" t="n"/>
      <c r="Y43" s="186" t="n"/>
      <c r="Z43" s="186" t="n"/>
      <c r="AA43" s="187" t="n"/>
    </row>
    <row r="44" ht="12.75" customFormat="1" customHeight="1" s="196" thickTop="1">
      <c r="B44" s="1384" t="n"/>
      <c r="C44" s="300" t="n"/>
      <c r="D44" s="268" t="n"/>
      <c r="E44" s="1454">
        <f>+G21</f>
        <v/>
      </c>
      <c r="F44" s="1454">
        <f>+H21</f>
        <v/>
      </c>
      <c r="G44" s="1385">
        <f>+I21</f>
        <v/>
      </c>
      <c r="H44" s="300" t="n"/>
      <c r="I44" s="268" t="n"/>
      <c r="J44" s="268" t="n"/>
      <c r="K44" s="1454">
        <f>+K7</f>
        <v/>
      </c>
      <c r="L44" s="1454">
        <f>+L7</f>
        <v/>
      </c>
      <c r="M44" s="1454">
        <f>+M7</f>
        <v/>
      </c>
      <c r="N44" s="1454">
        <f>+N7</f>
        <v/>
      </c>
      <c r="O44" s="204" t="n"/>
      <c r="P44" s="300" t="n"/>
      <c r="Q44" s="302" t="n"/>
      <c r="R44" s="301" t="n"/>
      <c r="S44" s="301" t="n"/>
      <c r="T44" s="1455" t="n"/>
      <c r="U44" s="302" t="n"/>
      <c r="V44" s="302" t="n"/>
      <c r="W44" s="302" t="n"/>
      <c r="X44" s="302" t="n"/>
      <c r="Y44" s="301" t="n"/>
      <c r="Z44" s="302" t="n"/>
      <c r="AA44" s="1416" t="n"/>
    </row>
    <row r="45" ht="12.75" customFormat="1" customHeight="1" s="196">
      <c r="B45" s="1384" t="n"/>
      <c r="C45" s="269" t="inlineStr">
        <is>
          <t>EV / revenue</t>
        </is>
      </c>
      <c r="D45" s="1456" t="n"/>
      <c r="E45" s="1457">
        <f>IFERROR(+$Y$24/G11,"n/a")</f>
        <v/>
      </c>
      <c r="F45" s="1457">
        <f>IFERROR(+$Y$24/H11,"n/a")</f>
        <v/>
      </c>
      <c r="G45" s="1458">
        <f>IFERROR(+$Y$24/I11,"n/a")</f>
        <v/>
      </c>
      <c r="H45" s="242" t="inlineStr">
        <is>
          <t>Exit EBITDA</t>
        </is>
      </c>
      <c r="I45" s="249" t="n"/>
      <c r="J45" s="249" t="n"/>
      <c r="K45" s="1456">
        <f>+LBO!K355</f>
        <v/>
      </c>
      <c r="L45" s="1456">
        <f>+LBO!L355</f>
        <v/>
      </c>
      <c r="M45" s="1456">
        <f>+LBO!M355</f>
        <v/>
      </c>
      <c r="N45" s="1459">
        <f>+LBO!N355</f>
        <v/>
      </c>
      <c r="O45" s="204" t="n"/>
      <c r="P45" s="242" t="n"/>
      <c r="Q45" s="205" t="n"/>
      <c r="R45" s="1390" t="n"/>
      <c r="S45" s="1390" t="n"/>
      <c r="T45" s="1430" t="n"/>
      <c r="U45" s="466" t="n"/>
      <c r="V45" s="249" t="n"/>
      <c r="W45" s="249" t="n"/>
      <c r="X45" s="249" t="n"/>
      <c r="Y45" s="1421" t="n"/>
      <c r="Z45" s="249" t="n"/>
      <c r="AA45" s="1460" t="n"/>
    </row>
    <row r="46" ht="12.75" customFormat="1" customHeight="1" s="196">
      <c r="B46" s="1384" t="n"/>
      <c r="C46" s="242" t="inlineStr">
        <is>
          <t>EV / EBITDA</t>
        </is>
      </c>
      <c r="D46" s="1456" t="n"/>
      <c r="E46" s="1457">
        <f>+IFERROR($Y$24/G16,"n/a")</f>
        <v/>
      </c>
      <c r="F46" s="1457">
        <f>+IFERROR($Y$24/H16,"n/a")</f>
        <v/>
      </c>
      <c r="G46" s="1458">
        <f>+IFERROR($Y$24/I16,"n/a")</f>
        <v/>
      </c>
      <c r="H46" s="298" t="inlineStr">
        <is>
          <t>Exit EV at:</t>
        </is>
      </c>
      <c r="I46" s="1461">
        <f>+LBO!F43</f>
        <v/>
      </c>
      <c r="J46" s="295" t="n"/>
      <c r="K46" s="1462">
        <f>+LBO!K357</f>
        <v/>
      </c>
      <c r="L46" s="1462">
        <f>+LBO!L357</f>
        <v/>
      </c>
      <c r="M46" s="1462">
        <f>+LBO!M357</f>
        <v/>
      </c>
      <c r="N46" s="1463">
        <f>+LBO!N357</f>
        <v/>
      </c>
      <c r="O46" s="204" t="n"/>
      <c r="P46" s="242" t="n"/>
      <c r="Q46" s="203" t="n"/>
      <c r="R46" s="1390" t="n"/>
      <c r="S46" s="1390" t="n"/>
      <c r="T46" s="1430" t="n"/>
      <c r="U46" s="467" t="n"/>
      <c r="V46" s="255" t="n"/>
      <c r="W46" s="1425" t="n"/>
      <c r="X46" s="1425" t="n"/>
      <c r="Y46" s="1421" t="n"/>
      <c r="Z46" s="203" t="n"/>
      <c r="AA46" s="1424" t="n"/>
    </row>
    <row r="47" ht="12.75" customFormat="1" customHeight="1" s="196">
      <c r="B47" s="1384" t="n"/>
      <c r="C47" s="242" t="inlineStr">
        <is>
          <t>EV / EBIT</t>
        </is>
      </c>
      <c r="D47" s="1456" t="n"/>
      <c r="E47" s="1457">
        <f>IFERROR($Y$24/G18,"n/a")</f>
        <v/>
      </c>
      <c r="F47" s="1457">
        <f>IFERROR($Y$24/H18,"n/a")</f>
        <v/>
      </c>
      <c r="G47" s="1458">
        <f>IFERROR($Y$24/I18,"n/a")</f>
        <v/>
      </c>
      <c r="H47" s="242" t="inlineStr">
        <is>
          <t>Less net debt &amp; EO liability</t>
        </is>
      </c>
      <c r="I47" s="255" t="n"/>
      <c r="J47" s="1464" t="n"/>
      <c r="K47" s="1456">
        <f>+LBO!K358+LBO!K359</f>
        <v/>
      </c>
      <c r="L47" s="1456">
        <f>+LBO!L358+LBO!L359</f>
        <v/>
      </c>
      <c r="M47" s="1456">
        <f>+LBO!M358+LBO!M359</f>
        <v/>
      </c>
      <c r="N47" s="1459">
        <f>+LBO!N358+LBO!N359</f>
        <v/>
      </c>
      <c r="O47" s="204" t="n"/>
      <c r="P47" s="242" t="n"/>
      <c r="Q47" s="203" t="n"/>
      <c r="R47" s="1390" t="n"/>
      <c r="S47" s="1390" t="n"/>
      <c r="T47" s="1430" t="n"/>
      <c r="U47" s="467" t="n"/>
      <c r="V47" s="255" t="n"/>
      <c r="W47" s="1425" t="n"/>
      <c r="X47" s="1425" t="n"/>
      <c r="Y47" s="1421" t="n"/>
      <c r="Z47" s="203" t="n"/>
      <c r="AA47" s="1424" t="n"/>
    </row>
    <row r="48" ht="12.75" customFormat="1" customHeight="1" s="196">
      <c r="B48" s="1384" t="n"/>
      <c r="C48" s="242" t="inlineStr">
        <is>
          <t>Cash flow yield</t>
        </is>
      </c>
      <c r="D48" s="1456" t="n"/>
      <c r="E48" s="1465">
        <f>IFERROR(G25/$Y$24,"n/a")</f>
        <v/>
      </c>
      <c r="F48" s="1465">
        <f>IFERROR(H25/$Y$24,"n/a")</f>
        <v/>
      </c>
      <c r="G48" s="1466">
        <f>IFERROR(I25/$Y$24,"n/a")</f>
        <v/>
      </c>
      <c r="H48" s="242" t="inlineStr">
        <is>
          <t>Less vendor loan</t>
        </is>
      </c>
      <c r="I48" s="202" t="n"/>
      <c r="J48" s="1464" t="n"/>
      <c r="K48" s="1456">
        <f>+LBO!K360</f>
        <v/>
      </c>
      <c r="L48" s="1456">
        <f>+LBO!L360</f>
        <v/>
      </c>
      <c r="M48" s="1456">
        <f>+LBO!M360</f>
        <v/>
      </c>
      <c r="N48" s="1459">
        <f>+LBO!N360</f>
        <v/>
      </c>
      <c r="O48" s="204" t="n"/>
      <c r="P48" s="260" t="n"/>
      <c r="Q48" s="249" t="n"/>
      <c r="R48" s="1390" t="n"/>
      <c r="S48" s="1421" t="n"/>
      <c r="T48" s="1430" t="n"/>
      <c r="Z48" s="202" t="n"/>
      <c r="AA48" s="1432" t="n"/>
    </row>
    <row r="49" ht="12.75" customFormat="1" customHeight="1" s="196">
      <c r="B49" s="1384" t="n"/>
      <c r="C49" s="242" t="inlineStr">
        <is>
          <t>"PEG" ratio (EV/EBITDA / EBITDA growth)</t>
        </is>
      </c>
      <c r="D49" s="1467" t="n"/>
      <c r="E49" s="1457">
        <f>+IFERROR(E46/((+G16/F16-1)*100),"n/a")</f>
        <v/>
      </c>
      <c r="F49" s="1457">
        <f>+IFERROR(F46/((+H16/G16-1)*100),"n/a")</f>
        <v/>
      </c>
      <c r="G49" s="1468">
        <f>+IFERROR(G46/((+I16/H16-1)*100),"n/a")</f>
        <v/>
      </c>
      <c r="H49" s="242" t="inlineStr">
        <is>
          <t>Less Blixt exit fees</t>
        </is>
      </c>
      <c r="I49" s="203" t="n"/>
      <c r="J49" s="1464" t="n"/>
      <c r="K49" s="1456">
        <f>+LBO!K361</f>
        <v/>
      </c>
      <c r="L49" s="1456">
        <f>+LBO!L361</f>
        <v/>
      </c>
      <c r="M49" s="1456">
        <f>+LBO!M361</f>
        <v/>
      </c>
      <c r="N49" s="1459">
        <f>+LBO!N361</f>
        <v/>
      </c>
      <c r="O49" s="204" t="n"/>
      <c r="P49" s="269" t="n"/>
      <c r="S49" s="202" t="n"/>
      <c r="T49" s="1469" t="n"/>
      <c r="U49" s="468" t="n"/>
      <c r="V49" s="203" t="n"/>
      <c r="W49" s="1433" t="n"/>
      <c r="X49" s="1433" t="n"/>
      <c r="Y49" s="1390" t="n"/>
      <c r="Z49" s="203" t="n"/>
      <c r="AA49" s="1424" t="n"/>
    </row>
    <row r="50" ht="12.75" customFormat="1" customHeight="1" s="196">
      <c r="B50" s="1384" t="n"/>
      <c r="C50" s="210" t="n"/>
      <c r="D50" s="202" t="n"/>
      <c r="E50" s="1457" t="n"/>
      <c r="F50" s="1457" t="n"/>
      <c r="G50" s="1470" t="n"/>
      <c r="H50" s="298" t="inlineStr">
        <is>
          <t>Distributable equity value</t>
        </is>
      </c>
      <c r="I50" s="295" t="n"/>
      <c r="J50" s="295" t="n"/>
      <c r="K50" s="1462">
        <f>+K46+K47+K48+K49</f>
        <v/>
      </c>
      <c r="L50" s="1462">
        <f>+L46+L47+L48+L49</f>
        <v/>
      </c>
      <c r="M50" s="1462">
        <f>+M46+M47+M48+M49</f>
        <v/>
      </c>
      <c r="N50" s="1463">
        <f>+N46+N47+N48+N49</f>
        <v/>
      </c>
      <c r="O50" s="204" t="n"/>
      <c r="P50" s="269" t="n"/>
      <c r="S50" s="1390" t="n"/>
      <c r="T50" s="1471" t="n"/>
      <c r="U50" s="468" t="n"/>
      <c r="V50" s="203" t="n"/>
      <c r="W50" s="1433" t="n"/>
      <c r="X50" s="1433" t="n"/>
      <c r="Y50" s="1390" t="n"/>
      <c r="Z50" s="203" t="n"/>
      <c r="AA50" s="1424" t="n"/>
    </row>
    <row r="51" ht="12.75" customFormat="1" customHeight="1" s="196">
      <c r="B51" s="1384" t="n"/>
      <c r="C51" s="210" t="inlineStr">
        <is>
          <t>Total equity / EBITDA</t>
        </is>
      </c>
      <c r="D51" s="202" t="n"/>
      <c r="E51" s="1468">
        <f>IFERROR((+LBO!$E$83+LBO!$E$96+LBO!E98)/G16,"n/a")</f>
        <v/>
      </c>
      <c r="F51" s="1468">
        <f>IFERROR((+LBO!$E$83+LBO!$E$96+LBO!F98)/H16,"n/a")</f>
        <v/>
      </c>
      <c r="G51" s="1458">
        <f>IFERROR((+LBO!$E$83+LBO!$E$96+LBO!G98)/I16,"n/a")</f>
        <v/>
      </c>
      <c r="H51" s="242" t="n"/>
      <c r="I51" s="203" t="n"/>
      <c r="J51" s="1433" t="n"/>
      <c r="K51" s="1456" t="n"/>
      <c r="L51" s="1456" t="n"/>
      <c r="M51" s="1456" t="n"/>
      <c r="N51" s="1459" t="n"/>
      <c r="O51" s="204" t="n"/>
      <c r="P51" s="269" t="n"/>
      <c r="S51" s="1390" t="n"/>
      <c r="T51" s="1471" t="n"/>
      <c r="U51" s="468" t="n"/>
      <c r="V51" s="203" t="n"/>
      <c r="W51" s="1433" t="n"/>
      <c r="X51" s="1433" t="n"/>
      <c r="Y51" s="1390" t="n"/>
      <c r="Z51" s="203" t="n"/>
      <c r="AA51" s="1424" t="n"/>
    </row>
    <row r="52" ht="12.75" customFormat="1" customHeight="1" s="196">
      <c r="B52" s="1384" t="n"/>
      <c r="C52" s="210" t="inlineStr">
        <is>
          <t>Total Blixt equity / EBITDA</t>
        </is>
      </c>
      <c r="D52" s="202" t="n"/>
      <c r="E52" s="1468">
        <f>IFERROR((+LBO!E83+LBO!E91+LBO!E85+LBO!E98)/G16,"n/a")</f>
        <v/>
      </c>
      <c r="F52" s="1457">
        <f>IFERROR((+LBO!F83+LBO!F91+LBO!F85+LBO!F98)/H16,"n/a")</f>
        <v/>
      </c>
      <c r="G52" s="1458">
        <f>IFERROR((+LBO!G83+LBO!D91+LBO!D85+LBO!G98)/I16,"n/a")</f>
        <v/>
      </c>
      <c r="H52" s="242" t="inlineStr">
        <is>
          <t>Blixt Ords and prefs</t>
        </is>
      </c>
      <c r="I52" s="203" t="n"/>
      <c r="J52" s="1433" t="n"/>
      <c r="K52" s="1456">
        <f>+-LBO!K363+LBO!K384</f>
        <v/>
      </c>
      <c r="L52" s="1456">
        <f>+-LBO!L363+LBO!L384</f>
        <v/>
      </c>
      <c r="M52" s="1456">
        <f>+-LBO!M363+LBO!M384</f>
        <v/>
      </c>
      <c r="N52" s="1459">
        <f>+-LBO!N363+LBO!N384</f>
        <v/>
      </c>
      <c r="O52" s="204" t="n"/>
      <c r="P52" s="269" t="n"/>
      <c r="S52" s="1390" t="n"/>
      <c r="T52" s="1471" t="n"/>
      <c r="U52" s="468" t="n"/>
      <c r="V52" s="203" t="n"/>
      <c r="W52" s="1433" t="n"/>
      <c r="X52" s="1433" t="n"/>
      <c r="Y52" s="1390" t="n"/>
      <c r="Z52" s="203" t="n"/>
      <c r="AA52" s="1424" t="n"/>
    </row>
    <row r="53" ht="12.75" customFormat="1" customHeight="1" s="196">
      <c r="B53" s="1384" t="n"/>
      <c r="C53" s="242" t="n"/>
      <c r="D53" s="202" t="n"/>
      <c r="E53" s="1457" t="n"/>
      <c r="F53" s="1457" t="n"/>
      <c r="G53" s="1470" t="n"/>
      <c r="H53" s="242" t="inlineStr">
        <is>
          <t>Mgmt and vendor ords and prefs</t>
        </is>
      </c>
      <c r="I53" s="203" t="n"/>
      <c r="J53" s="1433" t="n"/>
      <c r="K53" s="1456">
        <f>+-LBO!K364-LBO!K365+LBO!K393+LBO!K404</f>
        <v/>
      </c>
      <c r="L53" s="1456">
        <f>+-LBO!L364-LBO!L365+LBO!L393+LBO!L404</f>
        <v/>
      </c>
      <c r="M53" s="1456">
        <f>+-LBO!M364-LBO!M365+LBO!M393+LBO!M404</f>
        <v/>
      </c>
      <c r="N53" s="1459">
        <f>+-LBO!N364-LBO!N365+LBO!N393+LBO!N404</f>
        <v/>
      </c>
      <c r="O53" s="204" t="n"/>
      <c r="P53" s="269" t="n"/>
      <c r="S53" s="1390" t="n"/>
      <c r="T53" s="1471" t="n"/>
      <c r="U53" s="468" t="n"/>
      <c r="V53" s="203" t="n"/>
      <c r="W53" s="1433" t="n"/>
      <c r="X53" s="1433" t="n"/>
      <c r="Y53" s="1390" t="n"/>
      <c r="Z53" s="203" t="n"/>
      <c r="AA53" s="1424" t="n"/>
    </row>
    <row r="54" ht="12.75" customFormat="1" customHeight="1" s="196">
      <c r="B54" s="1384" t="n"/>
      <c r="C54" s="242" t="inlineStr">
        <is>
          <t>Day 1 EV / EBITDA</t>
        </is>
      </c>
      <c r="D54" s="202" t="n"/>
      <c r="E54" s="1468">
        <f>IFERROR((+LBO!$L$81/'Output for 5-pager'!G16),"n/a")</f>
        <v/>
      </c>
      <c r="F54" s="1468">
        <f>IFERROR((+LBO!$L$81/'Output for 5-pager'!H16),"n/a")</f>
        <v/>
      </c>
      <c r="G54" s="1458">
        <f>IFERROR((+LBO!$L$81/'Output for 5-pager'!I16),"n/a")</f>
        <v/>
      </c>
      <c r="H54" s="298" t="inlineStr">
        <is>
          <t>Total equity value</t>
        </is>
      </c>
      <c r="I54" s="295" t="n"/>
      <c r="J54" s="295" t="n"/>
      <c r="K54" s="1462">
        <f>SUM(K52:K53)</f>
        <v/>
      </c>
      <c r="L54" s="1462">
        <f>SUM(L52:L53)</f>
        <v/>
      </c>
      <c r="M54" s="1462">
        <f>SUM(M52:M53)</f>
        <v/>
      </c>
      <c r="N54" s="1463">
        <f>SUM(N52:N53)</f>
        <v/>
      </c>
      <c r="O54" s="204" t="n"/>
      <c r="P54" s="1472" t="n"/>
      <c r="Q54" s="203" t="n"/>
      <c r="R54" s="1390" t="n"/>
      <c r="S54" s="1390" t="n"/>
      <c r="T54" s="1471" t="n"/>
      <c r="U54" s="468" t="n"/>
      <c r="V54" s="203" t="n"/>
      <c r="W54" s="1433" t="n"/>
      <c r="X54" s="1433" t="n"/>
      <c r="Y54" s="1390" t="n"/>
      <c r="Z54" s="203" t="n"/>
      <c r="AA54" s="1424" t="n"/>
    </row>
    <row r="55" ht="12.75" customFormat="1" customHeight="1" s="196">
      <c r="B55" s="1384" t="n"/>
      <c r="C55" s="242" t="inlineStr">
        <is>
          <t>Day 1 equity / EBITDA</t>
        </is>
      </c>
      <c r="D55" s="202" t="n"/>
      <c r="E55" s="1473" t="n"/>
      <c r="F55" s="1473" t="n"/>
      <c r="G55" s="1474" t="n"/>
      <c r="H55" s="210" t="n"/>
      <c r="I55" s="202" t="n"/>
      <c r="J55" s="202" t="n"/>
      <c r="K55" s="1456" t="n"/>
      <c r="L55" s="1456" t="n"/>
      <c r="M55" s="1456" t="n"/>
      <c r="N55" s="1459" t="n"/>
      <c r="O55" s="204" t="n"/>
      <c r="P55" s="210" t="n"/>
      <c r="Q55" s="202" t="n"/>
      <c r="R55" s="202" t="n"/>
      <c r="S55" s="202" t="n"/>
      <c r="T55" s="1471" t="n"/>
      <c r="U55" s="468" t="n"/>
      <c r="V55" s="203" t="n"/>
      <c r="W55" s="203" t="n"/>
      <c r="X55" s="203" t="n"/>
      <c r="Y55" s="203" t="n"/>
      <c r="Z55" s="203" t="n"/>
      <c r="AA55" s="1424" t="n"/>
    </row>
    <row r="56" ht="12.75" customFormat="1" customHeight="1" s="196">
      <c r="B56" s="1384" t="n"/>
      <c r="C56" s="242" t="inlineStr">
        <is>
          <t>Day 1 Blixt equity / EBITDA</t>
        </is>
      </c>
      <c r="D56" s="202" t="n"/>
      <c r="E56" s="1468">
        <f>IFERROR((+LBO!$E$83+LBO!$E$91+LBO!$E$85)/G16,"n/a")</f>
        <v/>
      </c>
      <c r="F56" s="1468">
        <f>IFERROR((+LBO!$E$83+LBO!$E$91+LBO!$E$85)/H16,"n/a")</f>
        <v/>
      </c>
      <c r="G56" s="1458">
        <f>IFERROR((+LBO!$E$83+LBO!$E$91+LBO!$E$85)/I16,"n/a")</f>
        <v/>
      </c>
      <c r="H56" s="210" t="inlineStr">
        <is>
          <t>Blixt entry equity + injections</t>
        </is>
      </c>
      <c r="I56" s="202" t="n"/>
      <c r="J56" s="202" t="n"/>
      <c r="K56" s="1456">
        <f>+LBO!K382</f>
        <v/>
      </c>
      <c r="L56" s="1456">
        <f>+LBO!L382</f>
        <v/>
      </c>
      <c r="M56" s="1456">
        <f>+LBO!M382</f>
        <v/>
      </c>
      <c r="N56" s="1459">
        <f>+LBO!N382</f>
        <v/>
      </c>
      <c r="O56" s="204" t="n"/>
      <c r="P56" s="210" t="n"/>
      <c r="Q56" s="202" t="n"/>
      <c r="R56" s="202" t="n"/>
      <c r="S56" s="202" t="n"/>
      <c r="T56" s="1471" t="n"/>
      <c r="U56" s="468" t="n"/>
      <c r="V56" s="203" t="n"/>
      <c r="W56" s="203" t="n"/>
      <c r="X56" s="203" t="n"/>
      <c r="Y56" s="203" t="n"/>
      <c r="Z56" s="203" t="n"/>
      <c r="AA56" s="1424" t="n"/>
    </row>
    <row r="57" ht="12.75" customFormat="1" customHeight="1" s="196">
      <c r="B57" s="1384" t="n"/>
      <c r="C57" s="242" t="n"/>
      <c r="D57" s="203" t="n"/>
      <c r="E57" s="1457" t="n"/>
      <c r="F57" s="1457" t="n"/>
      <c r="G57" s="1470" t="n"/>
      <c r="H57" s="298" t="inlineStr">
        <is>
          <t>Blixt Capital Gain</t>
        </is>
      </c>
      <c r="I57" s="295" t="n"/>
      <c r="J57" s="295" t="n"/>
      <c r="K57" s="1462">
        <f>+K52-K56</f>
        <v/>
      </c>
      <c r="L57" s="1462">
        <f>+L52-L56</f>
        <v/>
      </c>
      <c r="M57" s="1462">
        <f>+M52-M56</f>
        <v/>
      </c>
      <c r="N57" s="1463">
        <f>+N52-N56</f>
        <v/>
      </c>
      <c r="O57" s="204" t="n"/>
      <c r="P57" s="242" t="n"/>
      <c r="Q57" s="203" t="n"/>
      <c r="R57" s="1390" t="n"/>
      <c r="S57" s="1390" t="n"/>
      <c r="T57" s="1430" t="n"/>
      <c r="U57" s="468" t="n"/>
      <c r="V57" s="203" t="n"/>
      <c r="W57" s="203" t="n"/>
      <c r="X57" s="203" t="n"/>
      <c r="Y57" s="203" t="n"/>
      <c r="Z57" s="203" t="n"/>
      <c r="AA57" s="1424" t="n"/>
    </row>
    <row r="58" ht="12.75" customFormat="1" customHeight="1" s="196" thickBot="1">
      <c r="B58" s="1384" t="n"/>
      <c r="C58" s="505" t="n"/>
      <c r="D58" s="506" t="n"/>
      <c r="E58" s="1475" t="n"/>
      <c r="F58" s="1475" t="n"/>
      <c r="G58" s="1476" t="n"/>
      <c r="H58" s="512" t="inlineStr">
        <is>
          <t>Blixt CoC (x)</t>
        </is>
      </c>
      <c r="I58" s="513" t="n"/>
      <c r="J58" s="513" t="n"/>
      <c r="K58" s="1477">
        <f>+K52/K56</f>
        <v/>
      </c>
      <c r="L58" s="1477">
        <f>+L52/L56</f>
        <v/>
      </c>
      <c r="M58" s="1477">
        <f>+M52/M56</f>
        <v/>
      </c>
      <c r="N58" s="1478">
        <f>+N52/N56</f>
        <v/>
      </c>
      <c r="O58" s="204" t="n"/>
      <c r="P58" s="505" t="n"/>
      <c r="Q58" s="506" t="n"/>
      <c r="R58" s="1479" t="n"/>
      <c r="S58" s="1479" t="n"/>
      <c r="T58" s="1480" t="n"/>
      <c r="U58" s="510" t="n"/>
      <c r="V58" s="506" t="n"/>
      <c r="W58" s="506" t="n"/>
      <c r="X58" s="506" t="n"/>
      <c r="Y58" s="506" t="n"/>
      <c r="Z58" s="506" t="n"/>
      <c r="AA58" s="1481" t="n"/>
    </row>
    <row r="59" ht="5.25" customFormat="1" customHeight="1" s="196" thickBot="1">
      <c r="B59" s="1384" t="n"/>
      <c r="C59" s="202" t="n"/>
      <c r="D59" s="202" t="n"/>
      <c r="E59" s="202" t="n"/>
      <c r="F59" s="202" t="n"/>
      <c r="G59" s="204" t="n"/>
      <c r="H59" s="204" t="n"/>
      <c r="I59" s="204" t="n"/>
      <c r="J59" s="204" t="n"/>
      <c r="K59" s="204" t="n"/>
      <c r="L59" s="204" t="n"/>
      <c r="M59" s="204" t="n"/>
      <c r="N59" s="204" t="n"/>
      <c r="O59" s="204" t="n"/>
      <c r="P59" s="204" t="n"/>
      <c r="Q59" s="204" t="n"/>
      <c r="R59" s="204" t="n"/>
      <c r="S59" s="204" t="n"/>
      <c r="T59" s="204" t="n"/>
      <c r="U59" s="202" t="n"/>
      <c r="V59" s="202" t="n"/>
      <c r="W59" s="202" t="n"/>
      <c r="X59" s="202" t="n"/>
      <c r="Y59" s="202" t="n"/>
      <c r="Z59" s="202" t="n"/>
      <c r="AA59" s="202" t="n"/>
    </row>
    <row r="60" ht="12.75" customFormat="1" customHeight="1" s="196" thickBot="1">
      <c r="B60" s="1384" t="n"/>
      <c r="C60" s="189" t="inlineStr">
        <is>
          <t>Credit Analysis</t>
        </is>
      </c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  <c r="O60" s="204" t="n"/>
      <c r="P60" s="204" t="n"/>
      <c r="Q60" s="204" t="n"/>
      <c r="R60" s="204" t="n"/>
      <c r="S60" s="204" t="n"/>
      <c r="T60" s="204" t="n"/>
      <c r="U60" s="202" t="n"/>
      <c r="V60" s="202" t="n"/>
      <c r="W60" s="202" t="n"/>
      <c r="X60" s="202" t="n"/>
      <c r="Y60" s="202" t="n"/>
      <c r="Z60" s="202" t="n"/>
      <c r="AA60" s="202" t="n"/>
    </row>
    <row r="61" ht="12.75" customFormat="1" customHeight="1" s="196" thickTop="1">
      <c r="B61" s="1384" t="n"/>
      <c r="C61" s="266" t="inlineStr">
        <is>
          <t>Year</t>
        </is>
      </c>
      <c r="D61" s="267" t="n"/>
      <c r="E61" s="1454">
        <f>+E21</f>
        <v/>
      </c>
      <c r="F61" s="1454">
        <f>+F21</f>
        <v/>
      </c>
      <c r="G61" s="1454">
        <f>+G21</f>
        <v/>
      </c>
      <c r="H61" s="1454">
        <f>+H21</f>
        <v/>
      </c>
      <c r="I61" s="1454" t="inlineStr">
        <is>
          <t>Opening</t>
        </is>
      </c>
      <c r="J61" s="1454">
        <f>+J21</f>
        <v/>
      </c>
      <c r="K61" s="1454">
        <f>+K21</f>
        <v/>
      </c>
      <c r="L61" s="1454">
        <f>+L21</f>
        <v/>
      </c>
      <c r="M61" s="1454">
        <f>+M21</f>
        <v/>
      </c>
      <c r="N61" s="1454">
        <f>+N21</f>
        <v/>
      </c>
      <c r="O61" s="204" t="n"/>
      <c r="P61" s="204" t="n"/>
      <c r="Q61" s="204" t="n"/>
      <c r="R61" s="204" t="n"/>
      <c r="S61" s="204" t="n"/>
      <c r="T61" s="204" t="n"/>
      <c r="U61" s="202" t="n"/>
      <c r="V61" s="202" t="n"/>
      <c r="W61" s="202" t="n"/>
      <c r="X61" s="202" t="n"/>
      <c r="Y61" s="202" t="n"/>
      <c r="Z61" s="202" t="n"/>
      <c r="AA61" s="202" t="n"/>
    </row>
    <row r="62" ht="12.75" customFormat="1" customHeight="1" s="196">
      <c r="B62" s="1384" t="n"/>
      <c r="C62" s="231" t="inlineStr">
        <is>
          <t>Gross Debt</t>
        </is>
      </c>
      <c r="D62" s="243" t="n"/>
      <c r="E62" s="353" t="n"/>
      <c r="F62" s="353" t="n"/>
      <c r="G62" s="353" t="n"/>
      <c r="H62" s="353" t="n"/>
      <c r="I62" s="1442">
        <f>+LBO!H261</f>
        <v/>
      </c>
      <c r="J62" s="1442">
        <f>+LBO!J261</f>
        <v/>
      </c>
      <c r="K62" s="1442">
        <f>+LBO!K261</f>
        <v/>
      </c>
      <c r="L62" s="1442">
        <f>+LBO!L261</f>
        <v/>
      </c>
      <c r="M62" s="1442">
        <f>+LBO!M261</f>
        <v/>
      </c>
      <c r="N62" s="1443">
        <f>+LBO!N261</f>
        <v/>
      </c>
      <c r="O62" s="204" t="n"/>
      <c r="P62" s="204" t="n"/>
      <c r="Q62" s="204" t="n"/>
      <c r="R62" s="204" t="n"/>
      <c r="S62" s="204" t="n"/>
      <c r="T62" s="204" t="n"/>
      <c r="U62" s="202" t="n"/>
      <c r="V62" s="202" t="n"/>
      <c r="W62" s="202" t="n"/>
      <c r="X62" s="202" t="n"/>
      <c r="Y62" s="202" t="n"/>
      <c r="Z62" s="202" t="n"/>
      <c r="AA62" s="202" t="n"/>
    </row>
    <row r="63" ht="12.75" customFormat="1" customHeight="1" s="196">
      <c r="B63" s="1384" t="n"/>
      <c r="C63" s="231" t="inlineStr">
        <is>
          <t>Net Debt</t>
        </is>
      </c>
      <c r="D63" s="243" t="n"/>
      <c r="E63" s="353" t="n"/>
      <c r="F63" s="353" t="n"/>
      <c r="G63" s="353" t="n"/>
      <c r="H63" s="353" t="n"/>
      <c r="I63" s="1442">
        <f>+LBO!H262</f>
        <v/>
      </c>
      <c r="J63" s="1442">
        <f>+LBO!J262</f>
        <v/>
      </c>
      <c r="K63" s="1442">
        <f>+LBO!K262</f>
        <v/>
      </c>
      <c r="L63" s="1442">
        <f>+LBO!L262</f>
        <v/>
      </c>
      <c r="M63" s="1442">
        <f>+LBO!M262</f>
        <v/>
      </c>
      <c r="N63" s="1443">
        <f>+LBO!N262</f>
        <v/>
      </c>
      <c r="O63" s="204" t="n"/>
      <c r="P63" s="204" t="n"/>
      <c r="Q63" s="204" t="n"/>
      <c r="R63" s="204" t="n"/>
      <c r="S63" s="204" t="n"/>
      <c r="T63" s="204" t="n"/>
      <c r="U63" s="202" t="n"/>
      <c r="V63" s="202" t="n"/>
      <c r="W63" s="202" t="n"/>
      <c r="X63" s="202" t="n"/>
      <c r="Y63" s="202" t="n"/>
      <c r="Z63" s="202" t="n"/>
      <c r="AA63" s="202" t="n"/>
    </row>
    <row r="64" ht="12.75" customFormat="1" customHeight="1" s="196">
      <c r="B64" s="1384" t="n"/>
      <c r="C64" s="231" t="n"/>
      <c r="D64" s="205" t="n"/>
      <c r="E64" s="353" t="n"/>
      <c r="F64" s="353" t="n"/>
      <c r="G64" s="353" t="n"/>
      <c r="H64" s="353" t="n"/>
      <c r="I64" s="1442" t="n"/>
      <c r="J64" s="1442" t="n"/>
      <c r="K64" s="1442" t="n"/>
      <c r="L64" s="1442" t="n"/>
      <c r="M64" s="1442" t="n"/>
      <c r="N64" s="1443" t="n"/>
      <c r="O64" s="204" t="n"/>
      <c r="P64" s="204" t="n"/>
      <c r="Q64" s="204" t="n"/>
      <c r="R64" s="204" t="n"/>
      <c r="S64" s="204" t="n"/>
      <c r="T64" s="204" t="n"/>
      <c r="U64" s="202" t="n"/>
      <c r="V64" s="202" t="n"/>
      <c r="W64" s="202" t="n"/>
      <c r="X64" s="202" t="n"/>
      <c r="Y64" s="202" t="n"/>
      <c r="Z64" s="202" t="n"/>
      <c r="AA64" s="202" t="n"/>
    </row>
    <row r="65" ht="12.75" customFormat="1" customHeight="1" s="196">
      <c r="B65" s="1384" t="n"/>
      <c r="C65" s="231" t="inlineStr">
        <is>
          <t>Gross debt / EBITDA</t>
        </is>
      </c>
      <c r="D65" s="205" t="n"/>
      <c r="E65" s="353" t="n"/>
      <c r="F65" s="353" t="n"/>
      <c r="G65" s="353" t="n"/>
      <c r="H65" s="353" t="n"/>
      <c r="I65" s="1482">
        <f>+T24</f>
        <v/>
      </c>
      <c r="J65" s="1483">
        <f>+LBO!I554</f>
        <v/>
      </c>
      <c r="K65" s="1483">
        <f>+LBO!J554</f>
        <v/>
      </c>
      <c r="L65" s="1483">
        <f>+LBO!K554</f>
        <v/>
      </c>
      <c r="M65" s="1483">
        <f>+LBO!L554</f>
        <v/>
      </c>
      <c r="N65" s="1484">
        <f>+LBO!M554</f>
        <v/>
      </c>
      <c r="O65" s="204" t="n"/>
      <c r="P65" s="204" t="n"/>
      <c r="Q65" s="204" t="n"/>
      <c r="R65" s="204" t="n"/>
      <c r="S65" s="204" t="n"/>
      <c r="T65" s="204" t="n"/>
      <c r="U65" s="202" t="n"/>
      <c r="V65" s="202" t="n"/>
      <c r="W65" s="202" t="n"/>
      <c r="X65" s="202" t="n"/>
      <c r="Y65" s="202" t="n"/>
      <c r="Z65" s="202" t="n"/>
      <c r="AA65" s="202" t="n"/>
    </row>
    <row r="66" ht="12.75" customFormat="1" customHeight="1" s="196">
      <c r="B66" s="1384" t="n"/>
      <c r="C66" s="231" t="inlineStr">
        <is>
          <t>Net debt / EBITDA</t>
        </is>
      </c>
      <c r="D66" s="205" t="n"/>
      <c r="E66" s="353" t="n"/>
      <c r="F66" s="353" t="n"/>
      <c r="G66" s="353" t="n"/>
      <c r="H66" s="353" t="n"/>
      <c r="I66" s="1485" t="n"/>
      <c r="J66" s="1483">
        <f>+LBO!I555</f>
        <v/>
      </c>
      <c r="K66" s="1483">
        <f>+LBO!J555</f>
        <v/>
      </c>
      <c r="L66" s="1483">
        <f>+LBO!K555</f>
        <v/>
      </c>
      <c r="M66" s="1483">
        <f>+LBO!L555</f>
        <v/>
      </c>
      <c r="N66" s="1484">
        <f>+LBO!M555</f>
        <v/>
      </c>
      <c r="O66" s="204" t="n"/>
      <c r="P66" s="204" t="n"/>
      <c r="Q66" s="204" t="n"/>
      <c r="R66" s="204" t="n"/>
      <c r="S66" s="204" t="n"/>
      <c r="T66" s="204" t="n"/>
      <c r="U66" s="202" t="n"/>
      <c r="V66" s="202" t="n"/>
      <c r="W66" s="202" t="n"/>
      <c r="X66" s="202" t="n"/>
      <c r="Y66" s="202" t="n"/>
      <c r="Z66" s="202" t="n"/>
      <c r="AA66" s="202" t="n"/>
    </row>
    <row r="67" ht="12.75" customFormat="1" customHeight="1" s="196">
      <c r="B67" s="1384" t="n"/>
      <c r="C67" s="231" t="inlineStr">
        <is>
          <t>EBITDA / cash interest</t>
        </is>
      </c>
      <c r="D67" s="205" t="n"/>
      <c r="E67" s="353" t="n"/>
      <c r="F67" s="353" t="n"/>
      <c r="G67" s="353" t="n"/>
      <c r="H67" s="353" t="n"/>
      <c r="I67" s="1485" t="n"/>
      <c r="J67" s="1483">
        <f>+LBO!I556</f>
        <v/>
      </c>
      <c r="K67" s="1483">
        <f>+LBO!J556</f>
        <v/>
      </c>
      <c r="L67" s="1483">
        <f>+LBO!K556</f>
        <v/>
      </c>
      <c r="M67" s="1483">
        <f>+LBO!L556</f>
        <v/>
      </c>
      <c r="N67" s="1484">
        <f>+LBO!M556</f>
        <v/>
      </c>
      <c r="O67" s="204" t="n"/>
      <c r="P67" s="204" t="n"/>
      <c r="Q67" s="204" t="n"/>
      <c r="R67" s="204" t="n"/>
      <c r="S67" s="204" t="n"/>
      <c r="T67" s="204" t="n"/>
      <c r="U67" s="202" t="n"/>
      <c r="V67" s="202" t="n"/>
      <c r="W67" s="202" t="n"/>
      <c r="X67" s="202" t="n"/>
      <c r="Y67" s="202" t="n"/>
      <c r="Z67" s="202" t="n"/>
      <c r="AA67" s="202" t="n"/>
    </row>
    <row r="68" ht="12.75" customFormat="1" customHeight="1" s="196" thickBot="1">
      <c r="B68" s="1384" t="n"/>
      <c r="C68" s="481" t="inlineStr">
        <is>
          <t>DSCR ratio</t>
        </is>
      </c>
      <c r="D68" s="232" t="n"/>
      <c r="E68" s="485" t="n"/>
      <c r="F68" s="485" t="n"/>
      <c r="G68" s="485" t="n"/>
      <c r="H68" s="485" t="n"/>
      <c r="I68" s="1486" t="n"/>
      <c r="J68" s="1487">
        <f>+LBO!I559</f>
        <v/>
      </c>
      <c r="K68" s="1487">
        <f>+LBO!J559</f>
        <v/>
      </c>
      <c r="L68" s="1487">
        <f>+LBO!K559</f>
        <v/>
      </c>
      <c r="M68" s="1487">
        <f>+LBO!L559</f>
        <v/>
      </c>
      <c r="N68" s="1488">
        <f>+LBO!M559</f>
        <v/>
      </c>
      <c r="O68" s="204" t="n"/>
      <c r="P68" s="204" t="n"/>
      <c r="Q68" s="204" t="n"/>
      <c r="R68" s="204" t="n"/>
      <c r="S68" s="204" t="n"/>
      <c r="T68" s="204" t="n"/>
      <c r="U68" s="202" t="n"/>
      <c r="V68" s="202" t="n"/>
      <c r="W68" s="202" t="n"/>
      <c r="X68" s="202" t="n"/>
      <c r="Y68" s="202" t="n"/>
      <c r="Z68" s="202" t="n"/>
      <c r="AA68" s="202" t="n"/>
    </row>
    <row r="69" ht="12.75" customHeight="1"/>
    <row r="70" ht="12.75" customHeight="1"/>
    <row r="71" ht="12.75" customHeight="1"/>
    <row r="72" ht="12.75" customHeight="1"/>
    <row r="73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Format="1" customHeight="1" s="188"/>
    <row r="79" hidden="1" ht="12.75" customHeight="1"/>
    <row r="80" hidden="1" ht="12.75" customHeight="1"/>
    <row r="81" hidden="1" ht="12.75" customFormat="1" customHeight="1" s="188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idden="1" ht="12.75" customHeight="1"/>
    <row r="95" hidden="1" ht="12.75" customHeight="1"/>
    <row r="96" hidden="1" ht="12.75" customHeight="1"/>
    <row r="97" hidden="1" ht="12.75" customHeight="1"/>
    <row r="98" hidden="1" ht="12.75" customHeight="1"/>
    <row r="99" hidden="1" ht="12.75" customHeight="1"/>
    <row r="100" hidden="1" ht="12.75" customFormat="1" customHeight="1" s="188"/>
    <row r="101" hidden="1" ht="12.75" customHeight="1"/>
    <row r="102" hidden="1" ht="12.75" customHeight="1"/>
    <row r="103" hidden="1" ht="12.75" customHeight="1">
      <c r="AC103" s="175" t="n"/>
      <c r="AD103" s="175" t="n"/>
      <c r="AE103" s="175" t="n"/>
      <c r="AF103" s="175" t="n"/>
      <c r="AG103" s="175" t="n"/>
      <c r="AH103" s="175" t="n"/>
      <c r="AI103" s="175" t="n"/>
      <c r="AJ103" s="175" t="n"/>
      <c r="AK103" s="175" t="n"/>
      <c r="AL103" s="175" t="n"/>
      <c r="AM103" s="175" t="n"/>
      <c r="AN103" s="175" t="n"/>
      <c r="AO103" s="175" t="n"/>
      <c r="AP103" s="175" t="n"/>
      <c r="AQ103" s="175" t="n"/>
      <c r="AR103" s="175" t="n"/>
      <c r="AS103" s="175" t="n"/>
      <c r="AT103" s="175" t="n"/>
      <c r="AU103" s="175" t="n"/>
      <c r="AV103" s="175" t="n"/>
    </row>
    <row r="104" hidden="1" ht="12.75" customHeight="1">
      <c r="AC104" s="175" t="n"/>
      <c r="AD104" s="175" t="n"/>
      <c r="AE104" s="175" t="n"/>
      <c r="AF104" s="175" t="n"/>
      <c r="AG104" s="175" t="n"/>
      <c r="AH104" s="175" t="n"/>
      <c r="AI104" s="175" t="n"/>
      <c r="AJ104" s="175" t="n"/>
      <c r="AK104" s="175" t="n"/>
      <c r="AL104" s="175" t="n"/>
      <c r="AM104" s="175" t="n"/>
      <c r="AN104" s="175" t="n"/>
      <c r="AO104" s="175" t="n"/>
      <c r="AP104" s="175" t="n"/>
      <c r="AQ104" s="175" t="n"/>
      <c r="AR104" s="175" t="n"/>
      <c r="AS104" s="175" t="n"/>
      <c r="AT104" s="175" t="n"/>
      <c r="AU104" s="175" t="n"/>
      <c r="AV104" s="175" t="n"/>
    </row>
    <row r="105" hidden="1" ht="12.75" customHeight="1">
      <c r="AC105" s="175" t="n"/>
      <c r="AD105" s="175" t="n"/>
      <c r="AE105" s="175" t="n"/>
      <c r="AF105" s="175" t="n"/>
      <c r="AG105" s="175" t="n"/>
      <c r="AH105" s="175" t="n"/>
      <c r="AI105" s="175" t="n"/>
      <c r="AJ105" s="175" t="n"/>
      <c r="AK105" s="175" t="n"/>
      <c r="AL105" s="175" t="n"/>
      <c r="AM105" s="175" t="n"/>
      <c r="AN105" s="175" t="n"/>
      <c r="AO105" s="175" t="n"/>
      <c r="AP105" s="175" t="n"/>
      <c r="AQ105" s="175" t="n"/>
      <c r="AR105" s="175" t="n"/>
      <c r="AS105" s="175" t="n"/>
      <c r="AT105" s="175" t="n"/>
      <c r="AU105" s="175" t="n"/>
      <c r="AV105" s="175" t="n"/>
    </row>
    <row r="106" hidden="1" ht="12.75" customHeight="1">
      <c r="AC106" s="175" t="n"/>
      <c r="AD106" s="175" t="n"/>
      <c r="AE106" s="175" t="n"/>
      <c r="AF106" s="175" t="n"/>
      <c r="AG106" s="175" t="n"/>
      <c r="AH106" s="175" t="n"/>
      <c r="AI106" s="175" t="n"/>
      <c r="AJ106" s="175" t="n"/>
      <c r="AK106" s="175" t="n"/>
      <c r="AL106" s="175" t="n"/>
      <c r="AM106" s="175" t="n"/>
      <c r="AN106" s="175" t="n"/>
      <c r="AO106" s="175" t="n"/>
      <c r="AP106" s="175" t="n"/>
      <c r="AQ106" s="175" t="n"/>
      <c r="AR106" s="175" t="n"/>
      <c r="AS106" s="175" t="n"/>
      <c r="AT106" s="175" t="n"/>
      <c r="AU106" s="175" t="n"/>
      <c r="AV106" s="175" t="n"/>
    </row>
    <row r="107" hidden="1" ht="12.75" customHeight="1">
      <c r="D107" s="1489" t="n"/>
      <c r="E107" s="1489" t="n"/>
      <c r="F107" s="1489" t="n"/>
      <c r="G107" s="1489" t="n"/>
      <c r="H107" s="1489" t="n"/>
      <c r="P107" s="194" t="n"/>
      <c r="Q107" s="194" t="n"/>
      <c r="AC107" s="175" t="n"/>
      <c r="AD107" s="175" t="n"/>
      <c r="AE107" s="175" t="n"/>
      <c r="AF107" s="175" t="n"/>
      <c r="AG107" s="175" t="n"/>
      <c r="AH107" s="175" t="n"/>
      <c r="AI107" s="175" t="n"/>
      <c r="AJ107" s="175" t="n"/>
      <c r="AK107" s="175" t="n"/>
      <c r="AL107" s="175" t="n"/>
      <c r="AM107" s="175" t="n"/>
      <c r="AN107" s="175" t="n"/>
      <c r="AO107" s="175" t="n"/>
      <c r="AP107" s="175" t="n"/>
      <c r="AQ107" s="175" t="n"/>
      <c r="AR107" s="175" t="n"/>
      <c r="AS107" s="175" t="n"/>
      <c r="AT107" s="175" t="n"/>
      <c r="AU107" s="175" t="n"/>
      <c r="AV107" s="175" t="n"/>
    </row>
    <row r="108" hidden="1" ht="12.75" customHeight="1">
      <c r="D108" s="1489" t="n"/>
      <c r="E108" s="1489" t="n"/>
      <c r="F108" s="1489" t="n"/>
      <c r="G108" s="1489" t="n"/>
      <c r="H108" s="1489" t="n"/>
      <c r="AB108" s="175" t="n"/>
      <c r="AC108" s="175" t="n"/>
      <c r="AD108" s="175" t="n"/>
      <c r="AE108" s="175" t="n"/>
      <c r="AF108" s="175" t="n"/>
      <c r="AG108" s="175" t="n"/>
      <c r="AH108" s="175" t="n"/>
      <c r="AI108" s="175" t="n"/>
      <c r="AJ108" s="175" t="n"/>
      <c r="AK108" s="175" t="n"/>
      <c r="AL108" s="175" t="n"/>
      <c r="AM108" s="175" t="n"/>
      <c r="AN108" s="175" t="n"/>
      <c r="AO108" s="175" t="n"/>
      <c r="AP108" s="175" t="n"/>
      <c r="AQ108" s="175" t="n"/>
      <c r="AR108" s="175" t="n"/>
      <c r="AS108" s="175" t="n"/>
      <c r="AT108" s="175" t="n"/>
      <c r="AU108" s="175" t="n"/>
      <c r="AV108" s="175" t="n"/>
    </row>
    <row r="109" hidden="1" ht="12.75" customHeight="1">
      <c r="C109" s="188" t="n"/>
      <c r="D109" s="1490" t="n"/>
      <c r="E109" s="1490" t="n"/>
      <c r="F109" s="1490" t="n"/>
      <c r="G109" s="1490" t="n"/>
      <c r="H109" s="1490" t="n"/>
      <c r="AB109" s="175" t="n"/>
      <c r="AC109" s="175" t="n"/>
      <c r="AD109" s="175" t="n"/>
      <c r="AE109" s="175" t="n"/>
      <c r="AF109" s="175" t="n"/>
      <c r="AG109" s="175" t="n"/>
      <c r="AH109" s="175" t="n"/>
      <c r="AI109" s="175" t="n"/>
      <c r="AJ109" s="175" t="n"/>
      <c r="AK109" s="175" t="n"/>
      <c r="AL109" s="175" t="n"/>
      <c r="AM109" s="175" t="n"/>
      <c r="AN109" s="175" t="n"/>
      <c r="AO109" s="175" t="n"/>
      <c r="AP109" s="175" t="n"/>
      <c r="AQ109" s="175" t="n"/>
      <c r="AR109" s="175" t="n"/>
      <c r="AS109" s="175" t="n"/>
      <c r="AT109" s="175" t="n"/>
      <c r="AU109" s="175" t="n"/>
      <c r="AV109" s="175" t="n"/>
    </row>
    <row r="110" hidden="1" ht="12.75" customHeight="1">
      <c r="D110" s="1489" t="n"/>
      <c r="E110" s="1489" t="n"/>
      <c r="F110" s="1489" t="n"/>
      <c r="G110" s="1489" t="n"/>
      <c r="H110" s="1489" t="n"/>
      <c r="AB110" s="175" t="n"/>
      <c r="AC110" s="175" t="n"/>
      <c r="AD110" s="175" t="n"/>
      <c r="AE110" s="175" t="n"/>
      <c r="AF110" s="175" t="n"/>
      <c r="AG110" s="175" t="n"/>
      <c r="AH110" s="175" t="n"/>
      <c r="AI110" s="175" t="n"/>
      <c r="AJ110" s="175" t="n"/>
      <c r="AK110" s="175" t="n"/>
      <c r="AL110" s="175" t="n"/>
      <c r="AM110" s="175" t="n"/>
      <c r="AN110" s="175" t="n"/>
      <c r="AO110" s="175" t="n"/>
      <c r="AP110" s="175" t="n"/>
      <c r="AQ110" s="175" t="n"/>
      <c r="AR110" s="175" t="n"/>
      <c r="AS110" s="175" t="n"/>
      <c r="AT110" s="175" t="n"/>
      <c r="AU110" s="175" t="n"/>
      <c r="AV110" s="175" t="n"/>
    </row>
    <row r="111" hidden="1" ht="12.75" customHeight="1">
      <c r="AB111" s="175" t="n"/>
      <c r="AC111" s="175" t="n"/>
      <c r="AD111" s="175" t="n"/>
      <c r="AE111" s="175" t="n"/>
      <c r="AF111" s="175" t="n"/>
      <c r="AG111" s="175" t="n"/>
      <c r="AH111" s="175" t="n"/>
      <c r="AI111" s="175" t="n"/>
      <c r="AJ111" s="175" t="n"/>
      <c r="AK111" s="175" t="n"/>
      <c r="AL111" s="175" t="n"/>
      <c r="AM111" s="175" t="n"/>
      <c r="AN111" s="175" t="n"/>
      <c r="AO111" s="175" t="n"/>
      <c r="AP111" s="175" t="n"/>
      <c r="AQ111" s="175" t="n"/>
      <c r="AR111" s="175" t="n"/>
      <c r="AS111" s="175" t="n"/>
      <c r="AT111" s="175" t="n"/>
      <c r="AU111" s="175" t="n"/>
      <c r="AV111" s="175" t="n"/>
    </row>
    <row r="112" hidden="1" ht="12.75" customHeight="1">
      <c r="AC112" s="175" t="n"/>
      <c r="AD112" s="175" t="n"/>
      <c r="AE112" s="175" t="n"/>
      <c r="AF112" s="175" t="n"/>
      <c r="AG112" s="175" t="n"/>
      <c r="AH112" s="175" t="n"/>
      <c r="AI112" s="175" t="n"/>
      <c r="AJ112" s="175" t="n"/>
      <c r="AK112" s="175" t="n"/>
      <c r="AL112" s="175" t="n"/>
      <c r="AM112" s="175" t="n"/>
      <c r="AN112" s="175" t="n"/>
      <c r="AO112" s="175" t="n"/>
      <c r="AP112" s="175" t="n"/>
      <c r="AQ112" s="175" t="n"/>
      <c r="AR112" s="175" t="n"/>
      <c r="AS112" s="175" t="n"/>
      <c r="AT112" s="175" t="n"/>
      <c r="AU112" s="175" t="n"/>
      <c r="AV112" s="175" t="n"/>
    </row>
    <row r="113" hidden="1" ht="12.75" customHeight="1">
      <c r="AC113" s="175" t="n"/>
      <c r="AD113" s="175" t="n"/>
      <c r="AE113" s="175" t="n"/>
      <c r="AF113" s="175" t="n"/>
      <c r="AG113" s="175" t="n"/>
      <c r="AH113" s="175" t="n"/>
      <c r="AI113" s="175" t="n"/>
      <c r="AJ113" s="175" t="n"/>
      <c r="AK113" s="175" t="n"/>
      <c r="AL113" s="175" t="n"/>
      <c r="AM113" s="175" t="n"/>
      <c r="AN113" s="175" t="n"/>
      <c r="AO113" s="175" t="n"/>
      <c r="AP113" s="175" t="n"/>
      <c r="AQ113" s="175" t="n"/>
      <c r="AR113" s="175" t="n"/>
      <c r="AS113" s="175" t="n"/>
      <c r="AT113" s="175" t="n"/>
      <c r="AU113" s="175" t="n"/>
      <c r="AV113" s="175" t="n"/>
    </row>
    <row r="114" hidden="1" ht="12.75" customHeight="1">
      <c r="AC114" s="175" t="n"/>
      <c r="AD114" s="175" t="n"/>
      <c r="AE114" s="175" t="n"/>
      <c r="AF114" s="175" t="n"/>
      <c r="AG114" s="175" t="n"/>
      <c r="AH114" s="175" t="n"/>
      <c r="AI114" s="175" t="n"/>
      <c r="AJ114" s="175" t="n"/>
      <c r="AK114" s="175" t="n"/>
      <c r="AL114" s="175" t="n"/>
      <c r="AM114" s="175" t="n"/>
      <c r="AN114" s="175" t="n"/>
      <c r="AO114" s="175" t="n"/>
      <c r="AP114" s="175" t="n"/>
      <c r="AQ114" s="175" t="n"/>
      <c r="AR114" s="175" t="n"/>
      <c r="AS114" s="175" t="n"/>
      <c r="AT114" s="175" t="n"/>
      <c r="AU114" s="175" t="n"/>
      <c r="AV114" s="175" t="n"/>
    </row>
    <row r="115" hidden="1" ht="12.75" customHeight="1">
      <c r="AC115" s="175" t="n"/>
      <c r="AD115" s="175" t="n"/>
      <c r="AE115" s="175" t="n"/>
      <c r="AF115" s="175" t="n"/>
      <c r="AG115" s="175" t="n"/>
      <c r="AH115" s="175" t="n"/>
      <c r="AI115" s="175" t="n"/>
      <c r="AJ115" s="175" t="n"/>
      <c r="AK115" s="175" t="n"/>
      <c r="AL115" s="175" t="n"/>
      <c r="AM115" s="175" t="n"/>
      <c r="AN115" s="175" t="n"/>
      <c r="AO115" s="175" t="n"/>
      <c r="AP115" s="175" t="n"/>
      <c r="AQ115" s="175" t="n"/>
      <c r="AR115" s="175" t="n"/>
      <c r="AS115" s="175" t="n"/>
      <c r="AT115" s="175" t="n"/>
      <c r="AU115" s="175" t="n"/>
      <c r="AV115" s="175" t="n"/>
    </row>
    <row r="116" hidden="1" ht="12.75" customHeight="1">
      <c r="AC116" s="175" t="n"/>
      <c r="AD116" s="175" t="n"/>
      <c r="AE116" s="175" t="n"/>
      <c r="AF116" s="175" t="n"/>
      <c r="AG116" s="175" t="n"/>
      <c r="AH116" s="175" t="n"/>
      <c r="AI116" s="175" t="n"/>
      <c r="AJ116" s="175" t="n"/>
      <c r="AK116" s="175" t="n"/>
      <c r="AL116" s="175" t="n"/>
      <c r="AM116" s="175" t="n"/>
      <c r="AN116" s="175" t="n"/>
      <c r="AO116" s="175" t="n"/>
      <c r="AP116" s="175" t="n"/>
      <c r="AQ116" s="175" t="n"/>
      <c r="AR116" s="175" t="n"/>
      <c r="AS116" s="175" t="n"/>
      <c r="AT116" s="175" t="n"/>
      <c r="AU116" s="175" t="n"/>
      <c r="AV116" s="175" t="n"/>
    </row>
    <row r="117" hidden="1" ht="12.75" customHeight="1">
      <c r="AC117" s="175" t="n"/>
      <c r="AD117" s="175" t="n"/>
      <c r="AE117" s="175" t="n"/>
      <c r="AF117" s="175" t="n"/>
      <c r="AG117" s="175" t="n"/>
      <c r="AH117" s="175" t="n"/>
      <c r="AI117" s="175" t="n"/>
      <c r="AJ117" s="175" t="n"/>
      <c r="AK117" s="175" t="n"/>
      <c r="AL117" s="175" t="n"/>
      <c r="AM117" s="175" t="n"/>
      <c r="AN117" s="175" t="n"/>
      <c r="AO117" s="175" t="n"/>
      <c r="AP117" s="175" t="n"/>
      <c r="AQ117" s="175" t="n"/>
      <c r="AR117" s="175" t="n"/>
      <c r="AS117" s="175" t="n"/>
      <c r="AT117" s="175" t="n"/>
      <c r="AU117" s="175" t="n"/>
      <c r="AV117" s="175" t="n"/>
    </row>
    <row r="118" hidden="1" ht="12.75" customHeight="1">
      <c r="AC118" s="175" t="n"/>
      <c r="AD118" s="175" t="n"/>
      <c r="AE118" s="175" t="n"/>
      <c r="AF118" s="175" t="n"/>
      <c r="AG118" s="175" t="n"/>
      <c r="AH118" s="175" t="n"/>
      <c r="AI118" s="175" t="n"/>
      <c r="AJ118" s="175" t="n"/>
      <c r="AK118" s="175" t="n"/>
      <c r="AL118" s="175" t="n"/>
      <c r="AM118" s="175" t="n"/>
      <c r="AN118" s="175" t="n"/>
      <c r="AO118" s="175" t="n"/>
      <c r="AP118" s="175" t="n"/>
      <c r="AQ118" s="175" t="n"/>
      <c r="AR118" s="175" t="n"/>
      <c r="AS118" s="175" t="n"/>
      <c r="AT118" s="175" t="n"/>
      <c r="AU118" s="175" t="n"/>
      <c r="AV118" s="175" t="n"/>
    </row>
    <row r="119" hidden="1" ht="12.75" customHeight="1">
      <c r="AB119" s="175" t="n"/>
      <c r="AC119" s="175" t="n"/>
      <c r="AD119" s="175" t="n"/>
      <c r="AE119" s="175" t="n"/>
      <c r="AF119" s="175" t="n"/>
      <c r="AG119" s="175" t="n"/>
      <c r="AH119" s="175" t="n"/>
      <c r="AI119" s="175" t="n"/>
      <c r="AJ119" s="175" t="n"/>
      <c r="AK119" s="175" t="n"/>
      <c r="AL119" s="175" t="n"/>
      <c r="AM119" s="175" t="n"/>
      <c r="AN119" s="175" t="n"/>
      <c r="AO119" s="175" t="n"/>
      <c r="AP119" s="175" t="n"/>
      <c r="AQ119" s="175" t="n"/>
      <c r="AR119" s="175" t="n"/>
      <c r="AS119" s="175" t="n"/>
      <c r="AT119" s="175" t="n"/>
      <c r="AU119" s="175" t="n"/>
      <c r="AV119" s="175" t="n"/>
    </row>
    <row r="120" hidden="1" ht="12.75" customHeight="1">
      <c r="AB120" s="175" t="n"/>
      <c r="AC120" s="175" t="n"/>
      <c r="AD120" s="175" t="n"/>
      <c r="AE120" s="175" t="n"/>
      <c r="AF120" s="175" t="n"/>
      <c r="AG120" s="175" t="n"/>
      <c r="AH120" s="175" t="n"/>
      <c r="AI120" s="175" t="n"/>
      <c r="AJ120" s="175" t="n"/>
      <c r="AK120" s="175" t="n"/>
      <c r="AL120" s="175" t="n"/>
      <c r="AM120" s="175" t="n"/>
      <c r="AN120" s="175" t="n"/>
      <c r="AO120" s="175" t="n"/>
      <c r="AP120" s="175" t="n"/>
      <c r="AQ120" s="175" t="n"/>
      <c r="AR120" s="175" t="n"/>
      <c r="AS120" s="175" t="n"/>
      <c r="AT120" s="175" t="n"/>
      <c r="AU120" s="175" t="n"/>
      <c r="AV120" s="175" t="n"/>
    </row>
    <row r="121" hidden="1" ht="12.75" customHeight="1">
      <c r="AB121" s="175" t="n"/>
      <c r="AC121" s="175" t="n"/>
      <c r="AD121" s="175" t="n"/>
      <c r="AE121" s="175" t="n"/>
      <c r="AF121" s="175" t="n"/>
      <c r="AG121" s="175" t="n"/>
      <c r="AH121" s="175" t="n"/>
      <c r="AI121" s="175" t="n"/>
      <c r="AJ121" s="175" t="n"/>
      <c r="AK121" s="175" t="n"/>
      <c r="AL121" s="175" t="n"/>
      <c r="AM121" s="175" t="n"/>
      <c r="AN121" s="175" t="n"/>
      <c r="AO121" s="175" t="n"/>
      <c r="AP121" s="175" t="n"/>
      <c r="AQ121" s="175" t="n"/>
      <c r="AR121" s="175" t="n"/>
      <c r="AS121" s="175" t="n"/>
      <c r="AT121" s="175" t="n"/>
      <c r="AU121" s="175" t="n"/>
      <c r="AV121" s="175" t="n"/>
    </row>
    <row r="122" hidden="1" ht="12.75" customHeight="1">
      <c r="AB122" s="175" t="n"/>
      <c r="AC122" s="175" t="n"/>
      <c r="AD122" s="175" t="n"/>
      <c r="AE122" s="175" t="n"/>
      <c r="AF122" s="175" t="n"/>
      <c r="AG122" s="175" t="n"/>
      <c r="AH122" s="175" t="n"/>
      <c r="AI122" s="175" t="n"/>
      <c r="AJ122" s="175" t="n"/>
      <c r="AK122" s="175" t="n"/>
      <c r="AL122" s="175" t="n"/>
      <c r="AM122" s="175" t="n"/>
      <c r="AN122" s="175" t="n"/>
      <c r="AO122" s="175" t="n"/>
      <c r="AP122" s="175" t="n"/>
      <c r="AQ122" s="175" t="n"/>
      <c r="AR122" s="175" t="n"/>
      <c r="AS122" s="175" t="n"/>
      <c r="AT122" s="175" t="n"/>
      <c r="AU122" s="175" t="n"/>
      <c r="AV122" s="175" t="n"/>
    </row>
    <row r="123" hidden="1" ht="12.75" customHeight="1">
      <c r="AB123" s="175" t="n"/>
      <c r="AC123" s="175" t="n"/>
      <c r="AD123" s="175" t="n"/>
      <c r="AE123" s="175" t="n"/>
      <c r="AF123" s="175" t="n"/>
      <c r="AG123" s="175" t="n"/>
      <c r="AH123" s="175" t="n"/>
      <c r="AI123" s="175" t="n"/>
      <c r="AJ123" s="175" t="n"/>
      <c r="AK123" s="175" t="n"/>
      <c r="AL123" s="175" t="n"/>
      <c r="AM123" s="175" t="n"/>
      <c r="AN123" s="175" t="n"/>
      <c r="AO123" s="175" t="n"/>
      <c r="AP123" s="175" t="n"/>
      <c r="AQ123" s="175" t="n"/>
      <c r="AR123" s="175" t="n"/>
      <c r="AS123" s="175" t="n"/>
      <c r="AT123" s="175" t="n"/>
      <c r="AU123" s="175" t="n"/>
      <c r="AV123" s="175" t="n"/>
    </row>
    <row r="124" hidden="1" ht="12.75" customHeight="1">
      <c r="AB124" s="175" t="n"/>
      <c r="AC124" s="175" t="n"/>
      <c r="AD124" s="175" t="n"/>
      <c r="AE124" s="175" t="n"/>
      <c r="AF124" s="175" t="n"/>
      <c r="AG124" s="175" t="n"/>
      <c r="AH124" s="175" t="n"/>
      <c r="AI124" s="175" t="n"/>
      <c r="AJ124" s="175" t="n"/>
      <c r="AK124" s="175" t="n"/>
      <c r="AL124" s="175" t="n"/>
      <c r="AM124" s="175" t="n"/>
      <c r="AN124" s="175" t="n"/>
      <c r="AO124" s="175" t="n"/>
      <c r="AP124" s="175" t="n"/>
      <c r="AQ124" s="175" t="n"/>
      <c r="AR124" s="175" t="n"/>
      <c r="AS124" s="175" t="n"/>
      <c r="AT124" s="175" t="n"/>
      <c r="AU124" s="175" t="n"/>
      <c r="AV124" s="175" t="n"/>
    </row>
    <row r="125" hidden="1" ht="12.75" customHeight="1">
      <c r="AB125" s="175" t="n"/>
      <c r="AC125" s="175" t="n"/>
      <c r="AD125" s="175" t="n"/>
      <c r="AE125" s="175" t="n"/>
      <c r="AF125" s="175" t="n"/>
      <c r="AG125" s="175" t="n"/>
      <c r="AH125" s="175" t="n"/>
      <c r="AI125" s="175" t="n"/>
      <c r="AJ125" s="175" t="n"/>
      <c r="AK125" s="175" t="n"/>
      <c r="AL125" s="175" t="n"/>
      <c r="AM125" s="175" t="n"/>
      <c r="AN125" s="175" t="n"/>
      <c r="AO125" s="175" t="n"/>
      <c r="AP125" s="175" t="n"/>
      <c r="AQ125" s="175" t="n"/>
      <c r="AR125" s="175" t="n"/>
      <c r="AS125" s="175" t="n"/>
      <c r="AT125" s="175" t="n"/>
      <c r="AU125" s="175" t="n"/>
      <c r="AV125" s="175" t="n"/>
    </row>
    <row r="126" hidden="1" ht="12.75" customHeight="1">
      <c r="AB126" s="175" t="n"/>
      <c r="AC126" s="175" t="n"/>
      <c r="AD126" s="175" t="n"/>
      <c r="AE126" s="175" t="n"/>
      <c r="AF126" s="175" t="n"/>
      <c r="AG126" s="175" t="n"/>
      <c r="AH126" s="175" t="n"/>
      <c r="AI126" s="175" t="n"/>
      <c r="AJ126" s="175" t="n"/>
      <c r="AK126" s="175" t="n"/>
      <c r="AL126" s="175" t="n"/>
      <c r="AM126" s="175" t="n"/>
      <c r="AN126" s="175" t="n"/>
      <c r="AO126" s="175" t="n"/>
      <c r="AP126" s="175" t="n"/>
      <c r="AQ126" s="175" t="n"/>
      <c r="AR126" s="175" t="n"/>
      <c r="AS126" s="175" t="n"/>
      <c r="AT126" s="175" t="n"/>
      <c r="AU126" s="175" t="n"/>
      <c r="AV126" s="175" t="n"/>
    </row>
    <row r="127" hidden="1" ht="12.75" customHeight="1">
      <c r="AB127" s="175" t="n"/>
      <c r="AC127" s="175" t="n"/>
      <c r="AD127" s="175" t="n"/>
      <c r="AE127" s="175" t="n"/>
      <c r="AF127" s="175" t="n"/>
      <c r="AG127" s="175" t="n"/>
      <c r="AH127" s="175" t="n"/>
      <c r="AI127" s="175" t="n"/>
      <c r="AJ127" s="175" t="n"/>
      <c r="AK127" s="175" t="n"/>
      <c r="AL127" s="175" t="n"/>
      <c r="AM127" s="175" t="n"/>
      <c r="AN127" s="175" t="n"/>
      <c r="AO127" s="175" t="n"/>
      <c r="AP127" s="175" t="n"/>
      <c r="AQ127" s="175" t="n"/>
      <c r="AR127" s="175" t="n"/>
      <c r="AS127" s="175" t="n"/>
      <c r="AT127" s="175" t="n"/>
      <c r="AU127" s="175" t="n"/>
      <c r="AV127" s="175" t="n"/>
    </row>
    <row r="128" hidden="1" ht="12.75" customHeight="1">
      <c r="AB128" s="175" t="n"/>
      <c r="AC128" s="175" t="n"/>
      <c r="AD128" s="175" t="n"/>
      <c r="AE128" s="175" t="n"/>
      <c r="AF128" s="175" t="n"/>
      <c r="AG128" s="175" t="n"/>
      <c r="AH128" s="175" t="n"/>
      <c r="AI128" s="175" t="n"/>
      <c r="AJ128" s="175" t="n"/>
      <c r="AK128" s="175" t="n"/>
      <c r="AL128" s="175" t="n"/>
      <c r="AM128" s="175" t="n"/>
      <c r="AN128" s="175" t="n"/>
      <c r="AO128" s="175" t="n"/>
      <c r="AP128" s="175" t="n"/>
      <c r="AQ128" s="175" t="n"/>
      <c r="AR128" s="175" t="n"/>
      <c r="AS128" s="175" t="n"/>
      <c r="AT128" s="175" t="n"/>
      <c r="AU128" s="175" t="n"/>
      <c r="AV128" s="175" t="n"/>
    </row>
    <row r="129" hidden="1" ht="12.75" customFormat="1" customHeight="1" s="175"/>
    <row r="130" hidden="1" ht="12.75" customFormat="1" customHeight="1" s="175"/>
    <row r="131" hidden="1" ht="12.75" customFormat="1" customHeight="1" s="175"/>
    <row r="132" hidden="1" ht="12.75" customFormat="1" customHeight="1" s="175"/>
    <row r="133" hidden="1" ht="12.75" customFormat="1" customHeight="1" s="175"/>
    <row r="134" hidden="1" ht="12.75" customFormat="1" customHeight="1" s="175"/>
    <row r="135" hidden="1" ht="12.75" customFormat="1" customHeight="1" s="175"/>
    <row r="136" hidden="1" ht="12.75" customFormat="1" customHeight="1" s="175"/>
    <row r="137" hidden="1" ht="12.75" customFormat="1" customHeight="1" s="175"/>
    <row r="138" hidden="1" ht="12.75" customFormat="1" customHeight="1" s="175"/>
    <row r="139" hidden="1" ht="12.75" customFormat="1" customHeight="1" s="175"/>
    <row r="140" hidden="1" ht="12.75" customFormat="1" customHeight="1" s="175"/>
    <row r="141" hidden="1" ht="12.75" customFormat="1" customHeight="1" s="175"/>
    <row r="142" hidden="1" ht="12.75" customFormat="1" customHeight="1" s="175"/>
    <row r="143" ht="12.75" customFormat="1" customHeight="1" s="175"/>
    <row r="144" ht="12.75" customFormat="1" customHeight="1" s="175"/>
    <row r="145" ht="12.75" customHeight="1">
      <c r="AB145" s="175" t="n"/>
      <c r="AC145" s="175" t="n"/>
      <c r="AD145" s="175" t="n"/>
      <c r="AE145" s="175" t="n"/>
      <c r="AF145" s="175" t="n"/>
      <c r="AG145" s="175" t="n"/>
      <c r="AH145" s="175" t="n"/>
      <c r="AI145" s="175" t="n"/>
      <c r="AJ145" s="175" t="n"/>
      <c r="AK145" s="175" t="n"/>
      <c r="AL145" s="175" t="n"/>
      <c r="AM145" s="175" t="n"/>
      <c r="AN145" s="175" t="n"/>
      <c r="AO145" s="175" t="n"/>
      <c r="AP145" s="175" t="n"/>
      <c r="AQ145" s="175" t="n"/>
      <c r="AR145" s="175" t="n"/>
      <c r="AS145" s="175" t="n"/>
      <c r="AT145" s="175" t="n"/>
      <c r="AU145" s="175" t="n"/>
      <c r="AV145" s="175" t="n"/>
    </row>
    <row r="146" ht="12.75" customHeight="1">
      <c r="AB146" s="175" t="n"/>
      <c r="AC146" s="175" t="n"/>
      <c r="AD146" s="175" t="n"/>
      <c r="AE146" s="175" t="n"/>
      <c r="AF146" s="175" t="n"/>
      <c r="AG146" s="175" t="n"/>
      <c r="AH146" s="175" t="n"/>
      <c r="AI146" s="175" t="n"/>
      <c r="AJ146" s="175" t="n"/>
      <c r="AK146" s="175" t="n"/>
      <c r="AL146" s="175" t="n"/>
      <c r="AM146" s="175" t="n"/>
      <c r="AN146" s="175" t="n"/>
      <c r="AO146" s="175" t="n"/>
      <c r="AP146" s="175" t="n"/>
      <c r="AQ146" s="175" t="n"/>
      <c r="AR146" s="175" t="n"/>
      <c r="AS146" s="175" t="n"/>
      <c r="AT146" s="175" t="n"/>
      <c r="AU146" s="175" t="n"/>
      <c r="AV146" s="175" t="n"/>
    </row>
    <row r="147" ht="12.75" customHeight="1">
      <c r="AB147" s="175" t="n"/>
      <c r="AC147" s="175" t="n"/>
      <c r="AD147" s="175" t="n"/>
      <c r="AE147" s="175" t="n"/>
      <c r="AF147" s="175" t="n"/>
      <c r="AG147" s="175" t="n"/>
      <c r="AH147" s="175" t="n"/>
      <c r="AI147" s="175" t="n"/>
      <c r="AJ147" s="175" t="n"/>
      <c r="AK147" s="175" t="n"/>
      <c r="AL147" s="175" t="n"/>
      <c r="AM147" s="175" t="n"/>
      <c r="AN147" s="175" t="n"/>
      <c r="AO147" s="175" t="n"/>
      <c r="AP147" s="175" t="n"/>
      <c r="AQ147" s="175" t="n"/>
      <c r="AR147" s="175" t="n"/>
      <c r="AS147" s="175" t="n"/>
      <c r="AT147" s="175" t="n"/>
      <c r="AU147" s="175" t="n"/>
      <c r="AV147" s="175" t="n"/>
    </row>
    <row r="148" ht="12.75" customHeight="1">
      <c r="AB148" s="175" t="n"/>
      <c r="AC148" s="175" t="n"/>
      <c r="AD148" s="175" t="n"/>
      <c r="AE148" s="175" t="n"/>
      <c r="AF148" s="175" t="n"/>
      <c r="AG148" s="175" t="n"/>
      <c r="AH148" s="175" t="n"/>
      <c r="AI148" s="175" t="n"/>
      <c r="AJ148" s="175" t="n"/>
      <c r="AK148" s="175" t="n"/>
      <c r="AL148" s="175" t="n"/>
      <c r="AM148" s="175" t="n"/>
      <c r="AN148" s="175" t="n"/>
      <c r="AO148" s="175" t="n"/>
      <c r="AP148" s="175" t="n"/>
      <c r="AQ148" s="175" t="n"/>
      <c r="AR148" s="175" t="n"/>
      <c r="AS148" s="175" t="n"/>
      <c r="AT148" s="175" t="n"/>
      <c r="AU148" s="175" t="n"/>
      <c r="AV148" s="175" t="n"/>
    </row>
    <row r="149" ht="12.75" customHeight="1">
      <c r="AB149" s="175" t="n"/>
      <c r="AC149" s="175" t="n"/>
      <c r="AD149" s="175" t="n"/>
      <c r="AE149" s="175" t="n"/>
      <c r="AF149" s="175" t="n"/>
      <c r="AG149" s="175" t="n"/>
      <c r="AH149" s="175" t="n"/>
      <c r="AI149" s="175" t="n"/>
      <c r="AJ149" s="175" t="n"/>
      <c r="AK149" s="175" t="n"/>
      <c r="AL149" s="175" t="n"/>
      <c r="AM149" s="175" t="n"/>
      <c r="AN149" s="175" t="n"/>
      <c r="AO149" s="175" t="n"/>
      <c r="AP149" s="175" t="n"/>
      <c r="AQ149" s="175" t="n"/>
      <c r="AR149" s="175" t="n"/>
      <c r="AS149" s="175" t="n"/>
      <c r="AT149" s="175" t="n"/>
      <c r="AU149" s="175" t="n"/>
      <c r="AV149" s="175" t="n"/>
    </row>
    <row r="150" ht="12.75" customHeight="1">
      <c r="AB150" s="175" t="n"/>
      <c r="AC150" s="175" t="n"/>
      <c r="AD150" s="175" t="n"/>
      <c r="AE150" s="175" t="n"/>
      <c r="AF150" s="175" t="n"/>
      <c r="AG150" s="175" t="n"/>
      <c r="AH150" s="175" t="n"/>
      <c r="AI150" s="175" t="n"/>
      <c r="AJ150" s="175" t="n"/>
      <c r="AK150" s="175" t="n"/>
      <c r="AL150" s="175" t="n"/>
      <c r="AM150" s="175" t="n"/>
      <c r="AN150" s="175" t="n"/>
      <c r="AO150" s="175" t="n"/>
      <c r="AP150" s="175" t="n"/>
      <c r="AQ150" s="175" t="n"/>
      <c r="AR150" s="175" t="n"/>
      <c r="AS150" s="175" t="n"/>
      <c r="AT150" s="175" t="n"/>
      <c r="AU150" s="175" t="n"/>
      <c r="AV150" s="175" t="n"/>
    </row>
    <row r="151" ht="12.75" customHeight="1">
      <c r="AB151" s="175" t="n"/>
      <c r="AC151" s="175" t="n"/>
      <c r="AD151" s="175" t="n"/>
      <c r="AE151" s="175" t="n"/>
      <c r="AF151" s="175" t="n"/>
      <c r="AG151" s="175" t="n"/>
      <c r="AH151" s="175" t="n"/>
      <c r="AI151" s="175" t="n"/>
      <c r="AJ151" s="175" t="n"/>
      <c r="AK151" s="175" t="n"/>
      <c r="AL151" s="175" t="n"/>
      <c r="AM151" s="175" t="n"/>
      <c r="AN151" s="175" t="n"/>
      <c r="AO151" s="175" t="n"/>
      <c r="AP151" s="175" t="n"/>
      <c r="AQ151" s="175" t="n"/>
      <c r="AR151" s="175" t="n"/>
      <c r="AS151" s="175" t="n"/>
      <c r="AT151" s="175" t="n"/>
      <c r="AU151" s="175" t="n"/>
      <c r="AV151" s="175" t="n"/>
    </row>
    <row r="152" ht="12.75" customHeight="1">
      <c r="AB152" s="175" t="n"/>
      <c r="AC152" s="175" t="n"/>
      <c r="AD152" s="175" t="n"/>
      <c r="AE152" s="175" t="n"/>
      <c r="AF152" s="175" t="n"/>
      <c r="AG152" s="175" t="n"/>
      <c r="AH152" s="175" t="n"/>
      <c r="AI152" s="175" t="n"/>
      <c r="AJ152" s="175" t="n"/>
      <c r="AK152" s="175" t="n"/>
      <c r="AL152" s="175" t="n"/>
      <c r="AM152" s="175" t="n"/>
      <c r="AN152" s="175" t="n"/>
      <c r="AO152" s="175" t="n"/>
      <c r="AP152" s="175" t="n"/>
      <c r="AQ152" s="175" t="n"/>
      <c r="AR152" s="175" t="n"/>
      <c r="AS152" s="175" t="n"/>
      <c r="AT152" s="175" t="n"/>
      <c r="AU152" s="175" t="n"/>
      <c r="AV152" s="175" t="n"/>
    </row>
    <row r="153" ht="12.75" customHeight="1">
      <c r="AB153" s="175" t="n"/>
      <c r="AC153" s="175" t="n"/>
      <c r="AD153" s="175" t="n"/>
      <c r="AE153" s="175" t="n"/>
      <c r="AF153" s="175" t="n"/>
      <c r="AG153" s="175" t="n"/>
      <c r="AH153" s="175" t="n"/>
      <c r="AI153" s="175" t="n"/>
      <c r="AJ153" s="175" t="n"/>
      <c r="AK153" s="175" t="n"/>
      <c r="AL153" s="175" t="n"/>
      <c r="AM153" s="175" t="n"/>
      <c r="AN153" s="175" t="n"/>
      <c r="AO153" s="175" t="n"/>
      <c r="AP153" s="175" t="n"/>
      <c r="AQ153" s="175" t="n"/>
      <c r="AR153" s="175" t="n"/>
      <c r="AS153" s="175" t="n"/>
      <c r="AT153" s="175" t="n"/>
      <c r="AU153" s="175" t="n"/>
      <c r="AV153" s="175" t="n"/>
    </row>
    <row r="154" ht="12.75" customHeight="1">
      <c r="AB154" s="175" t="n"/>
      <c r="AC154" s="175" t="n"/>
      <c r="AD154" s="175" t="n"/>
      <c r="AE154" s="175" t="n"/>
      <c r="AF154" s="175" t="n"/>
      <c r="AG154" s="175" t="n"/>
      <c r="AH154" s="175" t="n"/>
      <c r="AI154" s="175" t="n"/>
      <c r="AJ154" s="175" t="n"/>
      <c r="AK154" s="175" t="n"/>
      <c r="AL154" s="175" t="n"/>
      <c r="AM154" s="175" t="n"/>
      <c r="AN154" s="175" t="n"/>
      <c r="AO154" s="175" t="n"/>
      <c r="AP154" s="175" t="n"/>
      <c r="AQ154" s="175" t="n"/>
      <c r="AR154" s="175" t="n"/>
      <c r="AS154" s="175" t="n"/>
      <c r="AT154" s="175" t="n"/>
      <c r="AU154" s="175" t="n"/>
      <c r="AV154" s="175" t="n"/>
    </row>
    <row r="155" ht="12.75" customHeight="1">
      <c r="AB155" s="175" t="n"/>
      <c r="AC155" s="175" t="n"/>
      <c r="AD155" s="175" t="n"/>
      <c r="AE155" s="175" t="n"/>
      <c r="AF155" s="175" t="n"/>
      <c r="AG155" s="175" t="n"/>
      <c r="AH155" s="175" t="n"/>
      <c r="AI155" s="175" t="n"/>
      <c r="AJ155" s="175" t="n"/>
      <c r="AK155" s="175" t="n"/>
      <c r="AL155" s="175" t="n"/>
      <c r="AM155" s="175" t="n"/>
      <c r="AN155" s="175" t="n"/>
      <c r="AO155" s="175" t="n"/>
      <c r="AP155" s="175" t="n"/>
      <c r="AQ155" s="175" t="n"/>
      <c r="AR155" s="175" t="n"/>
      <c r="AS155" s="175" t="n"/>
      <c r="AT155" s="175" t="n"/>
      <c r="AU155" s="175" t="n"/>
      <c r="AV155" s="175" t="n"/>
    </row>
    <row r="156" hidden="1" customHeight="1">
      <c r="AB156" s="175" t="n"/>
      <c r="AC156" s="175" t="n"/>
      <c r="AD156" s="175" t="n"/>
      <c r="AE156" s="175" t="n"/>
      <c r="AF156" s="175" t="n"/>
      <c r="AG156" s="175" t="n"/>
      <c r="AH156" s="175" t="n"/>
      <c r="AI156" s="175" t="n"/>
      <c r="AJ156" s="175" t="n"/>
      <c r="AK156" s="175" t="n"/>
      <c r="AL156" s="175" t="n"/>
      <c r="AM156" s="175" t="n"/>
      <c r="AN156" s="175" t="n"/>
      <c r="AO156" s="175" t="n"/>
      <c r="AP156" s="175" t="n"/>
      <c r="AQ156" s="175" t="n"/>
      <c r="AR156" s="175" t="n"/>
      <c r="AS156" s="175" t="n"/>
      <c r="AT156" s="175" t="n"/>
      <c r="AU156" s="175" t="n"/>
      <c r="AV156" s="175" t="n"/>
    </row>
    <row r="157" hidden="1" customHeight="1">
      <c r="AB157" s="175" t="n"/>
      <c r="AC157" s="175" t="n"/>
      <c r="AD157" s="175" t="n"/>
      <c r="AE157" s="175" t="n"/>
      <c r="AF157" s="175" t="n"/>
      <c r="AG157" s="175" t="n"/>
      <c r="AH157" s="175" t="n"/>
      <c r="AI157" s="175" t="n"/>
      <c r="AJ157" s="175" t="n"/>
      <c r="AK157" s="175" t="n"/>
      <c r="AL157" s="175" t="n"/>
      <c r="AM157" s="175" t="n"/>
      <c r="AN157" s="175" t="n"/>
      <c r="AO157" s="175" t="n"/>
      <c r="AP157" s="175" t="n"/>
      <c r="AQ157" s="175" t="n"/>
      <c r="AR157" s="175" t="n"/>
      <c r="AS157" s="175" t="n"/>
      <c r="AT157" s="175" t="n"/>
      <c r="AU157" s="175" t="n"/>
      <c r="AV157" s="175" t="n"/>
    </row>
    <row r="158" hidden="1" customHeight="1">
      <c r="AB158" s="175" t="n"/>
      <c r="AC158" s="175" t="n"/>
      <c r="AD158" s="175" t="n"/>
      <c r="AE158" s="175" t="n"/>
      <c r="AF158" s="175" t="n"/>
      <c r="AG158" s="175" t="n"/>
      <c r="AH158" s="175" t="n"/>
      <c r="AI158" s="175" t="n"/>
      <c r="AJ158" s="175" t="n"/>
      <c r="AK158" s="175" t="n"/>
      <c r="AL158" s="175" t="n"/>
      <c r="AM158" s="175" t="n"/>
      <c r="AN158" s="175" t="n"/>
      <c r="AO158" s="175" t="n"/>
      <c r="AP158" s="175" t="n"/>
      <c r="AQ158" s="175" t="n"/>
      <c r="AR158" s="175" t="n"/>
      <c r="AS158" s="175" t="n"/>
      <c r="AT158" s="175" t="n"/>
      <c r="AU158" s="175" t="n"/>
      <c r="AV158" s="175" t="n"/>
    </row>
    <row r="159" hidden="1" customHeight="1">
      <c r="AB159" s="175" t="n"/>
      <c r="AC159" s="175" t="n"/>
      <c r="AD159" s="175" t="n"/>
      <c r="AE159" s="175" t="n"/>
      <c r="AF159" s="175" t="n"/>
      <c r="AG159" s="175" t="n"/>
      <c r="AH159" s="175" t="n"/>
      <c r="AI159" s="175" t="n"/>
      <c r="AJ159" s="175" t="n"/>
      <c r="AK159" s="175" t="n"/>
      <c r="AL159" s="175" t="n"/>
      <c r="AM159" s="175" t="n"/>
      <c r="AN159" s="175" t="n"/>
      <c r="AO159" s="175" t="n"/>
      <c r="AP159" s="175" t="n"/>
      <c r="AQ159" s="175" t="n"/>
      <c r="AR159" s="175" t="n"/>
      <c r="AS159" s="175" t="n"/>
      <c r="AT159" s="175" t="n"/>
      <c r="AU159" s="175" t="n"/>
      <c r="AV159" s="175" t="n"/>
    </row>
    <row r="160" hidden="1" customHeight="1">
      <c r="AB160" s="175" t="n"/>
      <c r="AC160" s="175" t="n"/>
      <c r="AD160" s="175" t="n"/>
      <c r="AE160" s="175" t="n"/>
      <c r="AF160" s="175" t="n"/>
      <c r="AG160" s="175" t="n"/>
      <c r="AH160" s="175" t="n"/>
      <c r="AI160" s="175" t="n"/>
      <c r="AJ160" s="175" t="n"/>
      <c r="AK160" s="175" t="n"/>
      <c r="AL160" s="175" t="n"/>
      <c r="AM160" s="175" t="n"/>
      <c r="AN160" s="175" t="n"/>
      <c r="AO160" s="175" t="n"/>
      <c r="AP160" s="175" t="n"/>
      <c r="AQ160" s="175" t="n"/>
      <c r="AR160" s="175" t="n"/>
      <c r="AS160" s="175" t="n"/>
      <c r="AT160" s="175" t="n"/>
      <c r="AU160" s="175" t="n"/>
      <c r="AV160" s="175" t="n"/>
    </row>
    <row r="161" hidden="1" customFormat="1" customHeight="1" s="175"/>
  </sheetData>
  <printOptions horizontalCentered="1"/>
  <pageMargins left="0.2362204724409449" right="0.3543307086614174" top="0.1574803149606299" bottom="0.1574803149606299" header="0.1574803149606299" footer="0.1574803149606299"/>
  <pageSetup orientation="portrait" paperSize="8" scale="55" fitToHeight="0" fitToWidth="0"/>
  <headerFooter alignWithMargins="0">
    <oddHeader/>
    <oddFooter>&amp;L&amp;BH.I.G. Capital Confidential&amp;B&amp;C&amp;D&amp;RPage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E12" sqref="E12"/>
    </sheetView>
  </sheetViews>
  <sheetFormatPr baseColWidth="8" defaultRowHeight="15"/>
  <cols>
    <col width="14.85546875" bestFit="1" customWidth="1" min="3" max="3"/>
  </cols>
  <sheetData>
    <row r="2">
      <c r="B2" s="683" t="inlineStr">
        <is>
          <t>EO Calc</t>
        </is>
      </c>
    </row>
    <row r="3">
      <c r="D3" s="856" t="inlineStr">
        <is>
          <t>EO1</t>
        </is>
      </c>
      <c r="E3" s="856" t="inlineStr">
        <is>
          <t>EO2</t>
        </is>
      </c>
    </row>
    <row r="4">
      <c r="C4" s="857" t="inlineStr">
        <is>
          <t>Potential EO</t>
        </is>
      </c>
      <c r="D4" s="1491" t="n">
        <v>2</v>
      </c>
      <c r="E4" s="1491" t="n">
        <v>5</v>
      </c>
    </row>
    <row r="5">
      <c r="C5" s="854" t="inlineStr">
        <is>
          <t>EBITDA Target</t>
        </is>
      </c>
      <c r="D5" s="1492" t="n">
        <v>3</v>
      </c>
      <c r="E5" s="1492" t="n">
        <v>3.5</v>
      </c>
    </row>
    <row r="6">
      <c r="C6" s="854" t="inlineStr">
        <is>
          <t>EBITDA min</t>
        </is>
      </c>
      <c r="D6" s="1492" t="n">
        <v>2.6</v>
      </c>
      <c r="E6" s="1492" t="n">
        <v>2.6</v>
      </c>
    </row>
    <row r="7">
      <c r="C7" s="859" t="inlineStr">
        <is>
          <t>Trading EBITDA</t>
        </is>
      </c>
      <c r="D7" s="1493">
        <f>LBO!J178-LBO!J175</f>
        <v/>
      </c>
      <c r="E7" s="1493">
        <f>LBO!K178-LBO!K175</f>
        <v/>
      </c>
      <c r="F7" s="793" t="inlineStr">
        <is>
          <t>--&gt; EBITDA excluding central costs</t>
        </is>
      </c>
    </row>
    <row r="8">
      <c r="C8" s="861" t="inlineStr">
        <is>
          <t>% EO payable</t>
        </is>
      </c>
      <c r="D8" s="862">
        <f>IF(D7&gt;D5,100%,IF(D7&lt;D6,0,(D7-D6)/(D5-D6)))</f>
        <v/>
      </c>
      <c r="E8" s="862">
        <f>IF(E7&gt;E5,100%,IF(E7&lt;E6,0,(E7-E6)/(E5-E6)))</f>
        <v/>
      </c>
    </row>
    <row r="9">
      <c r="C9" s="863" t="inlineStr">
        <is>
          <t>EO value</t>
        </is>
      </c>
      <c r="D9" s="1494">
        <f>D4*D8</f>
        <v/>
      </c>
      <c r="E9" s="1494">
        <f>E4*E8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view="pageBreakPreview" zoomScale="60" zoomScaleNormal="100" workbookViewId="0">
      <selection activeCell="T39" sqref="T39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95"/>
  <sheetViews>
    <sheetView showGridLines="0" topLeftCell="A58" zoomScale="80" zoomScaleNormal="80" workbookViewId="0">
      <selection activeCell="F96" sqref="F96"/>
    </sheetView>
  </sheetViews>
  <sheetFormatPr baseColWidth="8" defaultRowHeight="15"/>
  <cols>
    <col width="4.85546875" customWidth="1" min="2" max="2"/>
    <col width="11.85546875" bestFit="1" customWidth="1" min="3" max="3"/>
    <col width="17.7109375" bestFit="1" customWidth="1" min="4" max="4"/>
    <col width="8.85546875" customWidth="1" min="5" max="5"/>
    <col width="11.7109375" bestFit="1" customWidth="1" min="12" max="12"/>
    <col width="15.7109375" customWidth="1" min="19" max="21"/>
  </cols>
  <sheetData>
    <row r="2">
      <c r="B2" s="788" t="n">
        <v>1</v>
      </c>
      <c r="C2" s="789" t="inlineStr">
        <is>
          <t>Transaction structure</t>
        </is>
      </c>
      <c r="D2" s="789" t="n"/>
      <c r="E2" s="789" t="n"/>
      <c r="F2" s="789" t="n"/>
      <c r="G2" s="789" t="n"/>
      <c r="H2" s="789" t="n"/>
      <c r="I2" s="789" t="n"/>
      <c r="J2" s="789" t="n"/>
      <c r="K2" s="789" t="n"/>
      <c r="L2" s="789" t="n"/>
      <c r="M2" s="789" t="n"/>
      <c r="N2" s="789" t="n"/>
      <c r="O2" s="789" t="n"/>
      <c r="P2" s="789" t="n"/>
      <c r="Q2" s="789" t="n"/>
      <c r="R2" s="789" t="n"/>
      <c r="S2" s="789" t="n"/>
      <c r="T2" s="789" t="n"/>
      <c r="U2" s="789" t="n"/>
    </row>
    <row r="4">
      <c r="E4" s="790" t="inlineStr">
        <is>
          <t>Low</t>
        </is>
      </c>
      <c r="F4" s="790" t="inlineStr">
        <is>
          <t>Base</t>
        </is>
      </c>
      <c r="G4" s="790" t="inlineStr">
        <is>
          <t>High</t>
        </is>
      </c>
    </row>
    <row r="5">
      <c r="C5" t="inlineStr">
        <is>
          <t>Exit multiple</t>
        </is>
      </c>
      <c r="E5" s="1495" t="n">
        <v>6</v>
      </c>
      <c r="F5" s="1495" t="n"/>
      <c r="G5" s="1495" t="n"/>
    </row>
    <row r="7">
      <c r="B7" s="788" t="n">
        <v>2</v>
      </c>
      <c r="C7" s="789" t="inlineStr">
        <is>
          <t>Revenue Growth</t>
        </is>
      </c>
      <c r="D7" s="789" t="n"/>
      <c r="E7" s="789" t="n"/>
      <c r="F7" s="789" t="n"/>
      <c r="G7" s="789" t="n"/>
      <c r="H7" s="789" t="n"/>
      <c r="I7" s="789" t="n"/>
      <c r="J7" s="789" t="n"/>
      <c r="K7" s="789" t="n"/>
      <c r="L7" s="789" t="n"/>
      <c r="M7" s="789" t="n"/>
      <c r="N7" s="789" t="n"/>
      <c r="O7" s="789" t="n"/>
      <c r="P7" s="789" t="n"/>
      <c r="Q7" s="789" t="n"/>
      <c r="R7" s="789" t="n"/>
      <c r="S7" s="789" t="n"/>
      <c r="T7" s="789" t="n"/>
      <c r="U7" s="789" t="n"/>
    </row>
    <row r="9">
      <c r="D9" s="801" t="inlineStr">
        <is>
          <t>Historical (25 vs 24)</t>
        </is>
      </c>
      <c r="E9" s="798" t="n">
        <v>46357</v>
      </c>
      <c r="F9" s="798">
        <f>EDATE(E9,12)</f>
        <v/>
      </c>
      <c r="G9" s="798">
        <f>EDATE(F9,12)</f>
        <v/>
      </c>
      <c r="H9" s="798">
        <f>EDATE(G9,12)</f>
        <v/>
      </c>
      <c r="I9" s="798">
        <f>EDATE(H9,12)</f>
        <v/>
      </c>
      <c r="L9" s="803" t="n">
        <v>45992</v>
      </c>
      <c r="M9" s="798" t="n">
        <v>46357</v>
      </c>
      <c r="N9" s="798">
        <f>EDATE(M9,12)</f>
        <v/>
      </c>
      <c r="O9" s="798">
        <f>EDATE(N9,12)</f>
        <v/>
      </c>
      <c r="P9" s="798">
        <f>EDATE(O9,12)</f>
        <v/>
      </c>
      <c r="Q9" s="798">
        <f>EDATE(P9,12)</f>
        <v/>
      </c>
      <c r="S9" s="899" t="inlineStr">
        <is>
          <t>Historical growth</t>
        </is>
      </c>
      <c r="T9" s="899" t="n"/>
    </row>
    <row r="10">
      <c r="S10" s="900" t="inlineStr">
        <is>
          <t>Pre-fire (22-24)</t>
        </is>
      </c>
      <c r="T10" s="900" t="inlineStr">
        <is>
          <t>24-25</t>
        </is>
      </c>
      <c r="U10" s="900" t="inlineStr">
        <is>
          <t>CAGR '25-'30</t>
        </is>
      </c>
      <c r="X10" s="901" t="inlineStr">
        <is>
          <t>Comments</t>
        </is>
      </c>
    </row>
    <row r="11">
      <c r="C11" s="683" t="inlineStr">
        <is>
          <t>Selected Case</t>
        </is>
      </c>
      <c r="D11" s="683" t="n"/>
      <c r="X11" s="902" t="inlineStr">
        <is>
          <t>- Low case assumes eTest revenue declines in the same way as the base case; but that eBlast revenue doesn't recover - 2% growth is the new norm</t>
        </is>
      </c>
    </row>
    <row r="12">
      <c r="C12" t="inlineStr">
        <is>
          <t>eBlast</t>
        </is>
      </c>
      <c r="D12" s="1001">
        <f>IFERROR('Dec-25 LTM_P&amp;L'!E12/'Consol P&amp;L'!AP8-1,0)</f>
        <v/>
      </c>
      <c r="E12" s="799">
        <f>CHOOSE(LBO!$H$6,E19,E26,E33)</f>
        <v/>
      </c>
      <c r="F12" s="799">
        <f>CHOOSE(LBO!$H$6,F19,F26,F33)</f>
        <v/>
      </c>
      <c r="G12" s="799">
        <f>CHOOSE(LBO!$H$6,G19,G26,G33)</f>
        <v/>
      </c>
      <c r="H12" s="799">
        <f>CHOOSE(LBO!$H$6,H19,H26,H33)</f>
        <v/>
      </c>
      <c r="I12" s="799">
        <f>CHOOSE(LBO!$H$6,I19,I26,I33)</f>
        <v/>
      </c>
      <c r="K12" t="inlineStr">
        <is>
          <t>eBlast</t>
        </is>
      </c>
      <c r="L12" s="1496">
        <f>'Consol P&amp;L'!BC8/10^6</f>
        <v/>
      </c>
      <c r="M12" s="1497">
        <f>L12*(1+E12)</f>
        <v/>
      </c>
      <c r="N12" s="1497">
        <f>M12*(1+F12)</f>
        <v/>
      </c>
      <c r="O12" s="1497">
        <f>N12*(1+G12)</f>
        <v/>
      </c>
      <c r="P12" s="1497">
        <f>O12*(1+H12)</f>
        <v/>
      </c>
      <c r="Q12" s="1497">
        <f>P12*(1+I12)</f>
        <v/>
      </c>
      <c r="S12" s="799">
        <f>('Consol P&amp;L'!AP8/'Consol P&amp;L'!P8)^(1/2)-1</f>
        <v/>
      </c>
      <c r="T12" s="799">
        <f>D12</f>
        <v/>
      </c>
      <c r="U12" s="799">
        <f>IFERROR((Q12/L12)^(1/5)-1,"")</f>
        <v/>
      </c>
      <c r="X12" s="902" t="inlineStr">
        <is>
          <t>- Upside case assumes a 5% uplift on base case revenue growth</t>
        </is>
      </c>
    </row>
    <row r="13">
      <c r="C13" t="inlineStr">
        <is>
          <t>eTest</t>
        </is>
      </c>
      <c r="D13" s="1001">
        <f>IFERROR('Dec-25 LTM_P&amp;L'!G12/'Consol P&amp;L'!AP9-1,0)</f>
        <v/>
      </c>
      <c r="E13" s="799">
        <f>CHOOSE(LBO!$H$6,E20,E27,E34)</f>
        <v/>
      </c>
      <c r="F13" s="799">
        <f>CHOOSE(LBO!$H$6,F20,F27,F34)</f>
        <v/>
      </c>
      <c r="G13" s="799">
        <f>CHOOSE(LBO!$H$6,G20,G27,G34)</f>
        <v/>
      </c>
      <c r="H13" s="799">
        <f>CHOOSE(LBO!$H$6,H20,H27,H34)</f>
        <v/>
      </c>
      <c r="I13" s="799">
        <f>CHOOSE(LBO!$H$6,I20,I27,I34)</f>
        <v/>
      </c>
      <c r="K13" t="inlineStr">
        <is>
          <t>eTest</t>
        </is>
      </c>
      <c r="L13" s="1496">
        <f>'Consol P&amp;L'!BC9/10^6</f>
        <v/>
      </c>
      <c r="M13" s="1497">
        <f>L13*(1+E13)</f>
        <v/>
      </c>
      <c r="N13" s="1497">
        <f>M13*(1+F13)</f>
        <v/>
      </c>
      <c r="O13" s="1497">
        <f>N13*(1+G13)</f>
        <v/>
      </c>
      <c r="P13" s="1497">
        <f>O13*(1+H13)</f>
        <v/>
      </c>
      <c r="Q13" s="1497">
        <f>P13*(1+I13)</f>
        <v/>
      </c>
      <c r="S13" s="799">
        <f>('Consol P&amp;L'!AP9/'Consol P&amp;L'!P9)^(1/2)-1</f>
        <v/>
      </c>
      <c r="T13" s="799">
        <f>D13</f>
        <v/>
      </c>
      <c r="U13" s="799">
        <f>IFERROR((Q13/L13)^(1/5)-1,"")</f>
        <v/>
      </c>
    </row>
    <row r="14">
      <c r="C14" t="inlineStr">
        <is>
          <t>eFab</t>
        </is>
      </c>
      <c r="D14" s="1001">
        <f>IFERROR('Dec-25 LTM_P&amp;L'!D12/'Consol P&amp;L'!AP10-1,0)</f>
        <v/>
      </c>
      <c r="E14" s="799">
        <f>CHOOSE(LBO!$H$6,E21,E28,E35)</f>
        <v/>
      </c>
      <c r="F14" s="799">
        <f>CHOOSE(LBO!$H$6,F21,F28,F35)</f>
        <v/>
      </c>
      <c r="G14" s="799">
        <f>CHOOSE(LBO!$H$6,G21,G28,G35)</f>
        <v/>
      </c>
      <c r="H14" s="799">
        <f>CHOOSE(LBO!$H$6,H21,H28,H35)</f>
        <v/>
      </c>
      <c r="I14" s="799">
        <f>CHOOSE(LBO!$H$6,I21,I28,I35)</f>
        <v/>
      </c>
      <c r="K14" t="inlineStr">
        <is>
          <t>eFab</t>
        </is>
      </c>
      <c r="L14" s="1496">
        <f>'Consol P&amp;L'!BC10/10^6</f>
        <v/>
      </c>
      <c r="M14" s="1497">
        <f>L14*(1+E14)</f>
        <v/>
      </c>
      <c r="N14" s="1497">
        <f>M14*(1+F14)</f>
        <v/>
      </c>
      <c r="O14" s="1497">
        <f>N14*(1+G14)</f>
        <v/>
      </c>
      <c r="P14" s="1497">
        <f>O14*(1+H14)</f>
        <v/>
      </c>
      <c r="Q14" s="1497">
        <f>P14*(1+I14)</f>
        <v/>
      </c>
      <c r="S14" s="799">
        <f>('Consol P&amp;L'!AP10/'Consol P&amp;L'!P10)^(1/2)-1</f>
        <v/>
      </c>
      <c r="T14" s="799">
        <f>D14</f>
        <v/>
      </c>
      <c r="U14" s="799">
        <f>IFERROR((Q14/L14)^(1/5)-1,"")</f>
        <v/>
      </c>
    </row>
    <row r="15">
      <c r="C15" t="inlineStr">
        <is>
          <t>eClad</t>
        </is>
      </c>
      <c r="D15" s="1004" t="n"/>
      <c r="E15" s="799">
        <f>CHOOSE(LBO!$H$6,E22,E29,E36)</f>
        <v/>
      </c>
      <c r="F15" s="799">
        <f>CHOOSE(LBO!$H$6,F22,F29,F36)</f>
        <v/>
      </c>
      <c r="G15" s="799">
        <f>CHOOSE(LBO!$H$6,G22,G29,G36)</f>
        <v/>
      </c>
      <c r="H15" s="799">
        <f>CHOOSE(LBO!$H$6,H22,H29,H36)</f>
        <v/>
      </c>
      <c r="I15" s="799">
        <f>CHOOSE(LBO!$H$6,I22,I29,I36)</f>
        <v/>
      </c>
      <c r="K15" t="inlineStr">
        <is>
          <t>eClad</t>
        </is>
      </c>
      <c r="L15" s="1498">
        <f>'Consol P&amp;L'!BC11/10^6</f>
        <v/>
      </c>
      <c r="M15" s="1497">
        <f>L15*(1+E15)</f>
        <v/>
      </c>
      <c r="N15" s="1497">
        <f>M15*(1+F15)</f>
        <v/>
      </c>
      <c r="O15" s="1497">
        <f>N15*(1+G15)</f>
        <v/>
      </c>
      <c r="P15" s="1497">
        <f>O15*(1+H15)</f>
        <v/>
      </c>
      <c r="Q15" s="1497">
        <f>P15*(1+I15)</f>
        <v/>
      </c>
      <c r="S15" s="799">
        <f>('Consol P&amp;L'!AP11/'Consol P&amp;L'!P11)^(1/2)-1</f>
        <v/>
      </c>
      <c r="T15" s="799">
        <f>D15</f>
        <v/>
      </c>
      <c r="U15" s="799">
        <f>IFERROR((Q15/L15)^(1/5)-1,"")</f>
        <v/>
      </c>
    </row>
    <row r="16">
      <c r="E16" s="799" t="n"/>
      <c r="F16" s="799" t="n"/>
      <c r="G16" s="799" t="n"/>
      <c r="H16" s="799" t="n"/>
      <c r="I16" s="799" t="n"/>
      <c r="K16" s="804" t="inlineStr">
        <is>
          <t>Total</t>
        </is>
      </c>
      <c r="L16" s="1499">
        <f>SUM(L12:L15)</f>
        <v/>
      </c>
      <c r="M16" s="1499">
        <f>SUM(M12:M15)</f>
        <v/>
      </c>
      <c r="N16" s="1499">
        <f>SUM(N12:N15)</f>
        <v/>
      </c>
      <c r="O16" s="1499">
        <f>SUM(O12:O15)</f>
        <v/>
      </c>
      <c r="P16" s="1499">
        <f>SUM(P12:P15)</f>
        <v/>
      </c>
      <c r="Q16" s="1499">
        <f>SUM(Q12:Q15)</f>
        <v/>
      </c>
      <c r="S16" s="799">
        <f>('Consol P&amp;L'!AP15/'Consol P&amp;L'!P15)^(1/2)-1</f>
        <v/>
      </c>
      <c r="T16" s="799">
        <f>'Consol P&amp;L'!BC15/'Consol P&amp;L'!AP15-1</f>
        <v/>
      </c>
      <c r="U16" s="799">
        <f>IFERROR((Q16/L16)^(1/5)-1,"")</f>
        <v/>
      </c>
    </row>
    <row r="17">
      <c r="K17" s="768" t="inlineStr">
        <is>
          <t>Revenue growth</t>
        </is>
      </c>
      <c r="L17" s="768" t="n"/>
      <c r="M17" s="870">
        <f>M16/L16-1</f>
        <v/>
      </c>
      <c r="N17" s="870">
        <f>N16/M16-1</f>
        <v/>
      </c>
      <c r="O17" s="870">
        <f>O16/N16-1</f>
        <v/>
      </c>
      <c r="P17" s="870">
        <f>P16/O16-1</f>
        <v/>
      </c>
      <c r="Q17" s="870">
        <f>Q16/P16-1</f>
        <v/>
      </c>
      <c r="U17" s="799" t="n"/>
    </row>
    <row r="18">
      <c r="C18" s="683" t="inlineStr">
        <is>
          <t>Low case</t>
        </is>
      </c>
      <c r="D18" s="683" t="n"/>
      <c r="U18" s="799" t="n"/>
    </row>
    <row r="19">
      <c r="C19" t="inlineStr">
        <is>
          <t>eBlast</t>
        </is>
      </c>
      <c r="D19" s="805">
        <f>D12</f>
        <v/>
      </c>
      <c r="E19" s="792" t="n">
        <v>0.01</v>
      </c>
      <c r="F19" s="792" t="n"/>
      <c r="G19" s="792" t="n"/>
      <c r="H19" s="792" t="n"/>
      <c r="I19" s="792" t="n"/>
      <c r="J19" s="793" t="n"/>
      <c r="K19" t="inlineStr">
        <is>
          <t>eBlast</t>
        </is>
      </c>
      <c r="L19" s="1496">
        <f>L12</f>
        <v/>
      </c>
      <c r="M19" s="1497">
        <f>L19*(1+E19)</f>
        <v/>
      </c>
      <c r="N19" s="1497">
        <f>M19*(1+F19)</f>
        <v/>
      </c>
      <c r="O19" s="1497">
        <f>N19*(1+G19)</f>
        <v/>
      </c>
      <c r="P19" s="1497">
        <f>O19*(1+H19)</f>
        <v/>
      </c>
      <c r="Q19" s="1497">
        <f>P19*(1+I19)</f>
        <v/>
      </c>
      <c r="U19" s="799">
        <f>IFERROR((Q19/L19)^(1/5)-1,"")</f>
        <v/>
      </c>
    </row>
    <row r="20">
      <c r="C20" t="inlineStr">
        <is>
          <t>eTest</t>
        </is>
      </c>
      <c r="D20" s="805">
        <f>D13</f>
        <v/>
      </c>
      <c r="E20" s="792">
        <f>E27</f>
        <v/>
      </c>
      <c r="F20" s="792">
        <f>F27</f>
        <v/>
      </c>
      <c r="G20" s="792">
        <f>G27</f>
        <v/>
      </c>
      <c r="H20" s="792">
        <f>H27</f>
        <v/>
      </c>
      <c r="I20" s="792">
        <f>I27</f>
        <v/>
      </c>
      <c r="K20" t="inlineStr">
        <is>
          <t>eTest</t>
        </is>
      </c>
      <c r="L20" s="1496">
        <f>L13</f>
        <v/>
      </c>
      <c r="M20" s="1497">
        <f>L20*(1+E20)</f>
        <v/>
      </c>
      <c r="N20" s="1497">
        <f>M20*(1+F20)</f>
        <v/>
      </c>
      <c r="O20" s="1497">
        <f>N20*(1+G20)</f>
        <v/>
      </c>
      <c r="P20" s="1497">
        <f>O20*(1+H20)</f>
        <v/>
      </c>
      <c r="Q20" s="1497">
        <f>P20*(1+I20)</f>
        <v/>
      </c>
      <c r="U20" s="799">
        <f>IFERROR((Q20/L20)^(1/5)-1,"")</f>
        <v/>
      </c>
    </row>
    <row r="21">
      <c r="C21" t="inlineStr">
        <is>
          <t>eFab</t>
        </is>
      </c>
      <c r="D21" s="805">
        <f>D14</f>
        <v/>
      </c>
      <c r="E21" s="799" t="n">
        <v>0</v>
      </c>
      <c r="F21" s="799" t="n"/>
      <c r="G21" s="799" t="n"/>
      <c r="H21" s="799" t="n"/>
      <c r="I21" s="799" t="n"/>
      <c r="J21" s="793" t="n"/>
      <c r="K21" t="inlineStr">
        <is>
          <t>eFab</t>
        </is>
      </c>
      <c r="L21" s="1496">
        <f>L14</f>
        <v/>
      </c>
      <c r="M21" s="1497">
        <f>L21*(1+E21)</f>
        <v/>
      </c>
      <c r="N21" s="1497">
        <f>M21*(1+F21)</f>
        <v/>
      </c>
      <c r="O21" s="1497">
        <f>N21*(1+G21)</f>
        <v/>
      </c>
      <c r="P21" s="1497">
        <f>O21*(1+H21)</f>
        <v/>
      </c>
      <c r="Q21" s="1497">
        <f>P21*(1+I21)</f>
        <v/>
      </c>
      <c r="U21" s="799">
        <f>IFERROR((Q21/L21)^(1/5)-1,"")</f>
        <v/>
      </c>
    </row>
    <row r="22">
      <c r="C22" t="inlineStr">
        <is>
          <t>eClad</t>
        </is>
      </c>
      <c r="D22" s="805">
        <f>D15</f>
        <v/>
      </c>
      <c r="E22" s="799" t="n">
        <v>0</v>
      </c>
      <c r="F22" s="799" t="n"/>
      <c r="G22" s="799" t="n"/>
      <c r="H22" s="799" t="n"/>
      <c r="I22" s="799" t="n"/>
      <c r="J22" s="793" t="n"/>
      <c r="K22" t="inlineStr">
        <is>
          <t>eClad</t>
        </is>
      </c>
      <c r="L22" s="1496">
        <f>L15</f>
        <v/>
      </c>
      <c r="M22" s="1497">
        <f>L22*(1+E22)</f>
        <v/>
      </c>
      <c r="N22" s="1497">
        <f>M22*(1+F22)</f>
        <v/>
      </c>
      <c r="O22" s="1497">
        <f>N22*(1+G22)</f>
        <v/>
      </c>
      <c r="P22" s="1497">
        <f>O22*(1+H22)</f>
        <v/>
      </c>
      <c r="Q22" s="1497">
        <f>P22*(1+I22)</f>
        <v/>
      </c>
      <c r="U22" s="799">
        <f>IFERROR((Q22/L22)^(1/5)-1,"")</f>
        <v/>
      </c>
    </row>
    <row r="23">
      <c r="D23" s="802" t="n"/>
      <c r="E23" s="799" t="n"/>
      <c r="F23" s="799" t="n"/>
      <c r="G23" s="799" t="n"/>
      <c r="H23" s="799" t="n"/>
      <c r="I23" s="799" t="n"/>
      <c r="J23" s="793" t="n"/>
      <c r="K23" s="804" t="inlineStr">
        <is>
          <t>Total</t>
        </is>
      </c>
      <c r="L23" s="1499">
        <f>SUM(L19:L22)</f>
        <v/>
      </c>
      <c r="M23" s="1499">
        <f>SUM(M19:M22)</f>
        <v/>
      </c>
      <c r="N23" s="1499">
        <f>SUM(N19:N22)</f>
        <v/>
      </c>
      <c r="O23" s="1499">
        <f>SUM(O19:O22)</f>
        <v/>
      </c>
      <c r="P23" s="1499">
        <f>SUM(P19:P22)</f>
        <v/>
      </c>
      <c r="Q23" s="1499">
        <f>SUM(Q19:Q22)</f>
        <v/>
      </c>
      <c r="U23" s="995">
        <f>IFERROR((Q23/L23)^(1/5)-1,"")</f>
        <v/>
      </c>
    </row>
    <row r="24">
      <c r="E24" s="799" t="n"/>
      <c r="F24" s="799" t="n"/>
      <c r="G24" s="799" t="n"/>
      <c r="H24" s="799" t="n"/>
      <c r="I24" s="799" t="n"/>
      <c r="J24" s="793" t="n"/>
      <c r="K24" s="768" t="inlineStr">
        <is>
          <t>Revenue growth</t>
        </is>
      </c>
      <c r="L24" s="768" t="n"/>
      <c r="M24" s="870">
        <f>M23/L23-1</f>
        <v/>
      </c>
      <c r="N24" s="870">
        <f>N23/M23-1</f>
        <v/>
      </c>
      <c r="O24" s="870">
        <f>O23/N23-1</f>
        <v/>
      </c>
      <c r="P24" s="870">
        <f>P23/O23-1</f>
        <v/>
      </c>
      <c r="Q24" s="870">
        <f>Q23/P23-1</f>
        <v/>
      </c>
      <c r="U24" s="799" t="n"/>
    </row>
    <row r="25">
      <c r="C25" s="683" t="inlineStr">
        <is>
          <t>Base case</t>
        </is>
      </c>
      <c r="D25" s="683" t="n"/>
      <c r="E25" s="799" t="n"/>
      <c r="F25" s="799" t="n"/>
      <c r="G25" s="799" t="n"/>
      <c r="H25" s="799" t="n"/>
      <c r="I25" s="799" t="n"/>
      <c r="J25" s="793" t="n"/>
      <c r="K25" s="793" t="n"/>
      <c r="U25" s="799" t="n"/>
    </row>
    <row r="26">
      <c r="C26" t="inlineStr">
        <is>
          <t>eBlast</t>
        </is>
      </c>
      <c r="D26" s="805">
        <f>D12</f>
        <v/>
      </c>
      <c r="E26" s="792" t="n">
        <v>0.1</v>
      </c>
      <c r="F26" s="792" t="n"/>
      <c r="G26" s="792" t="n"/>
      <c r="H26" s="792" t="n"/>
      <c r="I26" s="792" t="n"/>
      <c r="J26" s="793" t="n"/>
      <c r="K26" t="inlineStr">
        <is>
          <t>eBlast</t>
        </is>
      </c>
      <c r="L26" s="1496">
        <f>L19</f>
        <v/>
      </c>
      <c r="M26" s="1497">
        <f>L26*(1+E26)</f>
        <v/>
      </c>
      <c r="N26" s="1497">
        <f>M26*(1+F26)</f>
        <v/>
      </c>
      <c r="O26" s="1497">
        <f>N26*(1+G26)</f>
        <v/>
      </c>
      <c r="P26" s="1497">
        <f>O26*(1+H26)</f>
        <v/>
      </c>
      <c r="Q26" s="1497">
        <f>P26*(1+I26)</f>
        <v/>
      </c>
      <c r="U26" s="799">
        <f>IFERROR((Q26/L26)^(1/5)-1,"")</f>
        <v/>
      </c>
    </row>
    <row r="27">
      <c r="C27" t="inlineStr">
        <is>
          <t>eTest</t>
        </is>
      </c>
      <c r="D27" s="805">
        <f>D13</f>
        <v/>
      </c>
      <c r="E27" s="792" t="n">
        <v>0.2</v>
      </c>
      <c r="F27" s="792" t="n"/>
      <c r="G27" s="792" t="n"/>
      <c r="H27" s="792" t="n"/>
      <c r="I27" s="792" t="n"/>
      <c r="J27" s="793" t="n"/>
      <c r="K27" t="inlineStr">
        <is>
          <t>eTest</t>
        </is>
      </c>
      <c r="L27" s="1496">
        <f>L20</f>
        <v/>
      </c>
      <c r="M27" s="1497">
        <f>L27*(1+E27)</f>
        <v/>
      </c>
      <c r="N27" s="1497">
        <f>M27*(1+F27)</f>
        <v/>
      </c>
      <c r="O27" s="1497">
        <f>N27*(1+G27)</f>
        <v/>
      </c>
      <c r="P27" s="1497">
        <f>O27*(1+H27)</f>
        <v/>
      </c>
      <c r="Q27" s="1497">
        <f>P27*(1+I27)</f>
        <v/>
      </c>
      <c r="U27" s="799">
        <f>IFERROR((Q27/L27)^(1/5)-1,"")</f>
        <v/>
      </c>
    </row>
    <row r="28">
      <c r="C28" t="inlineStr">
        <is>
          <t>eFab</t>
        </is>
      </c>
      <c r="D28" s="805">
        <f>D14</f>
        <v/>
      </c>
      <c r="E28" s="799" t="n">
        <v>0</v>
      </c>
      <c r="F28" s="799" t="n"/>
      <c r="G28" s="799" t="n"/>
      <c r="H28" s="799" t="n"/>
      <c r="I28" s="799" t="n"/>
      <c r="J28" s="793" t="n"/>
      <c r="K28" t="inlineStr">
        <is>
          <t>eFab</t>
        </is>
      </c>
      <c r="L28" s="1496">
        <f>L21</f>
        <v/>
      </c>
      <c r="M28" s="1497">
        <f>L28*(1+E28)</f>
        <v/>
      </c>
      <c r="N28" s="1497">
        <f>M28*(1+F28)</f>
        <v/>
      </c>
      <c r="O28" s="1497">
        <f>N28*(1+G28)</f>
        <v/>
      </c>
      <c r="P28" s="1497">
        <f>O28*(1+H28)</f>
        <v/>
      </c>
      <c r="Q28" s="1497">
        <f>P28*(1+I28)</f>
        <v/>
      </c>
      <c r="U28" s="799">
        <f>IFERROR((Q28/L28)^(1/5)-1,"")</f>
        <v/>
      </c>
    </row>
    <row r="29">
      <c r="C29" t="inlineStr">
        <is>
          <t>eClad</t>
        </is>
      </c>
      <c r="D29" s="805">
        <f>D15</f>
        <v/>
      </c>
      <c r="E29" s="799" t="n">
        <v>0</v>
      </c>
      <c r="F29" s="799" t="n"/>
      <c r="G29" s="799" t="n"/>
      <c r="H29" s="799" t="n"/>
      <c r="I29" s="799" t="n"/>
      <c r="J29" s="793" t="n"/>
      <c r="K29" t="inlineStr">
        <is>
          <t>eClad</t>
        </is>
      </c>
      <c r="L29" s="1496">
        <f>L22</f>
        <v/>
      </c>
      <c r="M29" s="1497">
        <f>L29*(1+E29)</f>
        <v/>
      </c>
      <c r="N29" s="1497">
        <f>M29*(1+F29)</f>
        <v/>
      </c>
      <c r="O29" s="1497">
        <f>N29*(1+G29)</f>
        <v/>
      </c>
      <c r="P29" s="1497">
        <f>O29*(1+H29)</f>
        <v/>
      </c>
      <c r="Q29" s="1497">
        <f>P29*(1+I29)</f>
        <v/>
      </c>
      <c r="U29" s="799">
        <f>IFERROR((Q29/L29)^(1/5)-1,"")</f>
        <v/>
      </c>
    </row>
    <row r="30">
      <c r="D30" s="802" t="n"/>
      <c r="E30" s="799" t="n"/>
      <c r="F30" s="799" t="n"/>
      <c r="G30" s="799" t="n"/>
      <c r="H30" s="799" t="n"/>
      <c r="I30" s="799" t="n"/>
      <c r="J30" s="793" t="n"/>
      <c r="K30" s="804" t="inlineStr">
        <is>
          <t>Total</t>
        </is>
      </c>
      <c r="L30" s="1499">
        <f>SUM(L26:L29)</f>
        <v/>
      </c>
      <c r="M30" s="1499">
        <f>SUM(M26:M29)</f>
        <v/>
      </c>
      <c r="N30" s="1499">
        <f>SUM(N26:N29)</f>
        <v/>
      </c>
      <c r="O30" s="1499">
        <f>SUM(O26:O29)</f>
        <v/>
      </c>
      <c r="P30" s="1499">
        <f>SUM(P26:P29)</f>
        <v/>
      </c>
      <c r="Q30" s="1499">
        <f>SUM(Q26:Q29)</f>
        <v/>
      </c>
      <c r="U30" s="995">
        <f>IFERROR((Q30/L30)^(1/5)-1,"")</f>
        <v/>
      </c>
    </row>
    <row r="31">
      <c r="E31" s="799" t="n"/>
      <c r="F31" s="799" t="n"/>
      <c r="G31" s="799" t="n"/>
      <c r="H31" s="799" t="n"/>
      <c r="I31" s="799" t="n"/>
      <c r="J31" s="793" t="n"/>
      <c r="K31" s="768" t="inlineStr">
        <is>
          <t>Revenue growth</t>
        </is>
      </c>
      <c r="L31" s="768" t="n"/>
      <c r="M31" s="870">
        <f>M30/L30-1</f>
        <v/>
      </c>
      <c r="N31" s="870">
        <f>N30/M30-1</f>
        <v/>
      </c>
      <c r="O31" s="870">
        <f>O30/N30-1</f>
        <v/>
      </c>
      <c r="P31" s="870">
        <f>P30/O30-1</f>
        <v/>
      </c>
      <c r="Q31" s="870">
        <f>Q30/P30-1</f>
        <v/>
      </c>
      <c r="U31" s="799" t="n"/>
    </row>
    <row r="32">
      <c r="C32" s="683" t="inlineStr">
        <is>
          <t>Upside case</t>
        </is>
      </c>
      <c r="D32" s="683" t="n"/>
      <c r="E32" s="799" t="n"/>
      <c r="F32" s="799" t="n"/>
      <c r="G32" s="799" t="n"/>
      <c r="H32" s="799" t="n"/>
      <c r="I32" s="799" t="n"/>
      <c r="J32" s="793" t="n"/>
      <c r="K32" s="793" t="n"/>
      <c r="U32" s="799" t="n"/>
    </row>
    <row r="33">
      <c r="C33" t="inlineStr">
        <is>
          <t>eBlast</t>
        </is>
      </c>
      <c r="D33" s="805">
        <f>D26</f>
        <v/>
      </c>
      <c r="E33" s="792">
        <f>E26+5%</f>
        <v/>
      </c>
      <c r="F33" s="792">
        <f>F26+5%</f>
        <v/>
      </c>
      <c r="G33" s="792">
        <f>G26+5%</f>
        <v/>
      </c>
      <c r="H33" s="792">
        <f>H26+5%</f>
        <v/>
      </c>
      <c r="I33" s="792">
        <f>I26+5%</f>
        <v/>
      </c>
      <c r="J33" s="793" t="n"/>
      <c r="K33" t="inlineStr">
        <is>
          <t>eBlast</t>
        </is>
      </c>
      <c r="L33" s="1496">
        <f>L26</f>
        <v/>
      </c>
      <c r="M33" s="1497">
        <f>L33*(1+E33)</f>
        <v/>
      </c>
      <c r="N33" s="1497">
        <f>M33*(1+F33)</f>
        <v/>
      </c>
      <c r="O33" s="1497">
        <f>N33*(1+G33)</f>
        <v/>
      </c>
      <c r="P33" s="1497">
        <f>O33*(1+H33)</f>
        <v/>
      </c>
      <c r="Q33" s="1497">
        <f>P33*(1+I33)</f>
        <v/>
      </c>
      <c r="U33" s="799">
        <f>IFERROR((Q33/L33)^(1/5)-1,"")</f>
        <v/>
      </c>
    </row>
    <row r="34">
      <c r="C34" t="inlineStr">
        <is>
          <t>eTest</t>
        </is>
      </c>
      <c r="D34" s="805">
        <f>D27</f>
        <v/>
      </c>
      <c r="E34" s="792">
        <f>E27</f>
        <v/>
      </c>
      <c r="F34" s="792">
        <f>F27</f>
        <v/>
      </c>
      <c r="G34" s="792">
        <f>G27</f>
        <v/>
      </c>
      <c r="H34" s="792">
        <f>H27</f>
        <v/>
      </c>
      <c r="I34" s="792">
        <f>I27</f>
        <v/>
      </c>
      <c r="J34" s="793" t="n"/>
      <c r="K34" t="inlineStr">
        <is>
          <t>eTest</t>
        </is>
      </c>
      <c r="L34" s="1496">
        <f>L27</f>
        <v/>
      </c>
      <c r="M34" s="1497">
        <f>L34*(1+E34)</f>
        <v/>
      </c>
      <c r="N34" s="1497">
        <f>M34*(1+F34)</f>
        <v/>
      </c>
      <c r="O34" s="1497">
        <f>N34*(1+G34)</f>
        <v/>
      </c>
      <c r="P34" s="1497">
        <f>O34*(1+H34)</f>
        <v/>
      </c>
      <c r="Q34" s="1497">
        <f>P34*(1+I34)</f>
        <v/>
      </c>
      <c r="U34" s="799">
        <f>IFERROR((Q34/L34)^(1/5)-1,"")</f>
        <v/>
      </c>
    </row>
    <row r="35">
      <c r="C35" t="inlineStr">
        <is>
          <t>eFab</t>
        </is>
      </c>
      <c r="D35" s="805">
        <f>D28</f>
        <v/>
      </c>
      <c r="E35" s="799" t="n">
        <v>0</v>
      </c>
      <c r="F35" s="799" t="n"/>
      <c r="G35" s="799" t="n"/>
      <c r="H35" s="799" t="n"/>
      <c r="I35" s="799" t="n"/>
      <c r="J35" s="793" t="n"/>
      <c r="K35" t="inlineStr">
        <is>
          <t>eFab</t>
        </is>
      </c>
      <c r="L35" s="1496">
        <f>L28</f>
        <v/>
      </c>
      <c r="M35" s="1497">
        <f>L35*(1+E35)</f>
        <v/>
      </c>
      <c r="N35" s="1497">
        <f>M35*(1+F35)</f>
        <v/>
      </c>
      <c r="O35" s="1497">
        <f>N35*(1+G35)</f>
        <v/>
      </c>
      <c r="P35" s="1497">
        <f>O35*(1+H35)</f>
        <v/>
      </c>
      <c r="Q35" s="1497">
        <f>P35*(1+I35)</f>
        <v/>
      </c>
      <c r="U35" s="799">
        <f>IFERROR((Q35/L35)^(1/5)-1,"")</f>
        <v/>
      </c>
    </row>
    <row r="36">
      <c r="C36" t="inlineStr">
        <is>
          <t>eClad</t>
        </is>
      </c>
      <c r="D36" s="805">
        <f>D29</f>
        <v/>
      </c>
      <c r="E36" s="799" t="n">
        <v>0</v>
      </c>
      <c r="F36" s="799" t="n"/>
      <c r="G36" s="799" t="n"/>
      <c r="H36" s="799" t="n"/>
      <c r="I36" s="799" t="n"/>
      <c r="J36" s="793" t="n"/>
      <c r="K36" t="inlineStr">
        <is>
          <t>eClad</t>
        </is>
      </c>
      <c r="L36" s="1496">
        <f>L29</f>
        <v/>
      </c>
      <c r="M36" s="1497">
        <f>L36*(1+E36)</f>
        <v/>
      </c>
      <c r="N36" s="1497">
        <f>M36*(1+F36)</f>
        <v/>
      </c>
      <c r="O36" s="1497">
        <f>N36*(1+G36)</f>
        <v/>
      </c>
      <c r="P36" s="1497">
        <f>O36*(1+H36)</f>
        <v/>
      </c>
      <c r="Q36" s="1497">
        <f>P36*(1+I36)</f>
        <v/>
      </c>
      <c r="U36" s="799">
        <f>IFERROR((Q36/L36)^(1/5)-1,"")</f>
        <v/>
      </c>
    </row>
    <row r="37">
      <c r="D37" s="802" t="n"/>
      <c r="E37" s="799" t="n"/>
      <c r="F37" s="799" t="n"/>
      <c r="G37" s="799" t="n"/>
      <c r="H37" s="799" t="n"/>
      <c r="I37" s="799" t="n"/>
      <c r="J37" s="793" t="n"/>
      <c r="K37" s="804" t="inlineStr">
        <is>
          <t>Total</t>
        </is>
      </c>
      <c r="L37" s="1499">
        <f>SUM(L33:L36)</f>
        <v/>
      </c>
      <c r="M37" s="1499">
        <f>SUM(M33:M36)</f>
        <v/>
      </c>
      <c r="N37" s="1499">
        <f>SUM(N33:N36)</f>
        <v/>
      </c>
      <c r="O37" s="1499">
        <f>SUM(O33:O36)</f>
        <v/>
      </c>
      <c r="P37" s="1499">
        <f>SUM(P33:P36)</f>
        <v/>
      </c>
      <c r="Q37" s="1499">
        <f>SUM(Q33:Q36)</f>
        <v/>
      </c>
      <c r="U37" s="995">
        <f>IFERROR((Q37/L37)^(1/5)-1,"")</f>
        <v/>
      </c>
    </row>
    <row r="38">
      <c r="E38" s="799" t="n"/>
      <c r="F38" s="799" t="n"/>
      <c r="G38" s="799" t="n"/>
      <c r="H38" s="799" t="n"/>
      <c r="I38" s="799" t="n"/>
      <c r="J38" s="793" t="n"/>
      <c r="K38" s="768" t="inlineStr">
        <is>
          <t>Revenue growth</t>
        </is>
      </c>
      <c r="L38" s="768" t="n"/>
      <c r="M38" s="870">
        <f>M37/L37-1</f>
        <v/>
      </c>
      <c r="N38" s="870">
        <f>N37/M37-1</f>
        <v/>
      </c>
      <c r="O38" s="870">
        <f>O37/N37-1</f>
        <v/>
      </c>
      <c r="P38" s="870">
        <f>P37/O37-1</f>
        <v/>
      </c>
      <c r="Q38" s="870">
        <f>Q37/P37-1</f>
        <v/>
      </c>
    </row>
    <row r="39">
      <c r="E39" s="799" t="n"/>
      <c r="F39" s="799" t="n"/>
      <c r="G39" s="799" t="n"/>
      <c r="H39" s="799" t="n"/>
      <c r="I39" s="799" t="n"/>
      <c r="J39" s="793" t="n"/>
      <c r="K39" s="768" t="n"/>
      <c r="L39" s="768" t="n"/>
      <c r="M39" s="870" t="n"/>
      <c r="N39" s="870" t="n"/>
      <c r="O39" s="870" t="n"/>
      <c r="P39" s="870" t="n"/>
      <c r="Q39" s="870" t="n"/>
    </row>
    <row r="40">
      <c r="B40" s="788" t="n">
        <v>3</v>
      </c>
      <c r="C40" s="789" t="inlineStr">
        <is>
          <t>Gross Margin</t>
        </is>
      </c>
      <c r="D40" s="789" t="n"/>
      <c r="E40" s="789" t="n"/>
      <c r="F40" s="789" t="n"/>
      <c r="G40" s="789" t="n"/>
      <c r="H40" s="789" t="n"/>
      <c r="I40" s="789" t="n"/>
      <c r="J40" s="789" t="n"/>
      <c r="K40" s="789" t="n"/>
      <c r="L40" s="789" t="n"/>
      <c r="M40" s="789" t="n"/>
      <c r="N40" s="789" t="n"/>
      <c r="O40" s="789" t="n"/>
      <c r="P40" s="789" t="n"/>
      <c r="Q40" s="789" t="n"/>
      <c r="R40" s="789" t="n"/>
      <c r="S40" s="789" t="n"/>
      <c r="T40" s="789" t="n"/>
    </row>
    <row r="42">
      <c r="D42" s="788" t="inlineStr">
        <is>
          <t>Historical (2025)</t>
        </is>
      </c>
      <c r="E42" s="798" t="n">
        <v>46357</v>
      </c>
      <c r="F42" s="798">
        <f>EDATE(E42,12)</f>
        <v/>
      </c>
      <c r="G42" s="798">
        <f>EDATE(F42,12)</f>
        <v/>
      </c>
      <c r="H42" s="798">
        <f>EDATE(G42,12)</f>
        <v/>
      </c>
      <c r="I42" s="798">
        <f>EDATE(H42,12)</f>
        <v/>
      </c>
      <c r="L42" s="803" t="n">
        <v>45992</v>
      </c>
      <c r="M42" s="798" t="n">
        <v>46357</v>
      </c>
      <c r="N42" s="798">
        <f>EDATE(M42,12)</f>
        <v/>
      </c>
      <c r="O42" s="798">
        <f>EDATE(N42,12)</f>
        <v/>
      </c>
      <c r="P42" s="798">
        <f>EDATE(O42,12)</f>
        <v/>
      </c>
      <c r="Q42" s="798">
        <f>EDATE(P42,12)</f>
        <v/>
      </c>
    </row>
    <row r="44">
      <c r="C44" s="683" t="inlineStr">
        <is>
          <t>Selected Case</t>
        </is>
      </c>
      <c r="D44" s="683" t="n"/>
      <c r="K44" s="810" t="inlineStr">
        <is>
          <t>Gross Margin Forecast</t>
        </is>
      </c>
    </row>
    <row r="45">
      <c r="C45" t="inlineStr">
        <is>
          <t>eBlast</t>
        </is>
      </c>
      <c r="D45" s="1001">
        <f>'Dec-25 LTM_P&amp;L'!E20/'Dec-25 LTM_P&amp;L'!E12</f>
        <v/>
      </c>
      <c r="E45" s="799">
        <f>CHOOSE(LBO!$H$6,E52,E59,E66)</f>
        <v/>
      </c>
      <c r="F45" s="799">
        <f>CHOOSE(LBO!$H$6,F52,F59,F66)</f>
        <v/>
      </c>
      <c r="G45" s="799">
        <f>CHOOSE(LBO!$H$6,G52,G59,G66)</f>
        <v/>
      </c>
      <c r="H45" s="799">
        <f>CHOOSE(LBO!$H$6,H52,H59,H66)</f>
        <v/>
      </c>
      <c r="I45" s="799">
        <f>CHOOSE(LBO!$H$6,I52,I59,I66)</f>
        <v/>
      </c>
      <c r="K45" t="inlineStr">
        <is>
          <t>eBlast</t>
        </is>
      </c>
      <c r="L45" s="1496">
        <f>('Consol P&amp;L'!BC8-'Consol P&amp;L'!BC18-'Consol P&amp;L'!BC28)/10^6</f>
        <v/>
      </c>
      <c r="M45" s="1497">
        <f>M12*E45</f>
        <v/>
      </c>
      <c r="N45" s="1497">
        <f>N12*F45</f>
        <v/>
      </c>
      <c r="O45" s="1497">
        <f>O12*G45</f>
        <v/>
      </c>
      <c r="P45" s="1497">
        <f>P12*H45</f>
        <v/>
      </c>
      <c r="Q45" s="1497">
        <f>Q12*I45</f>
        <v/>
      </c>
    </row>
    <row r="46">
      <c r="C46" t="inlineStr">
        <is>
          <t>eTest</t>
        </is>
      </c>
      <c r="D46" s="1001">
        <f>'Dec-25 LTM_P&amp;L'!G20/'Dec-25 LTM_P&amp;L'!G12</f>
        <v/>
      </c>
      <c r="E46" s="799">
        <f>CHOOSE(LBO!$H$6,E53,E60,E67)</f>
        <v/>
      </c>
      <c r="F46" s="799">
        <f>CHOOSE(LBO!$H$6,F53,F60,F67)</f>
        <v/>
      </c>
      <c r="G46" s="799">
        <f>CHOOSE(LBO!$H$6,G53,G60,G67)</f>
        <v/>
      </c>
      <c r="H46" s="799">
        <f>CHOOSE(LBO!$H$6,H53,H60,H67)</f>
        <v/>
      </c>
      <c r="I46" s="799">
        <f>CHOOSE(LBO!$H$6,I53,I60,I67)</f>
        <v/>
      </c>
      <c r="K46" t="inlineStr">
        <is>
          <t>eTest</t>
        </is>
      </c>
      <c r="L46" s="1496">
        <f>('Consol P&amp;L'!BC9-'Consol P&amp;L'!BC19-'Consol P&amp;L'!BC29)/10^6</f>
        <v/>
      </c>
      <c r="M46" s="1497">
        <f>M13*E46</f>
        <v/>
      </c>
      <c r="N46" s="1497">
        <f>N13*F46</f>
        <v/>
      </c>
      <c r="O46" s="1497">
        <f>O13*G46</f>
        <v/>
      </c>
      <c r="P46" s="1497">
        <f>P13*H46</f>
        <v/>
      </c>
      <c r="Q46" s="1497">
        <f>Q13*I46</f>
        <v/>
      </c>
    </row>
    <row r="47">
      <c r="C47" t="inlineStr">
        <is>
          <t>eFab</t>
        </is>
      </c>
      <c r="D47" s="1004" t="n"/>
      <c r="E47" s="799">
        <f>CHOOSE(LBO!$H$6,E54,E61,E68)</f>
        <v/>
      </c>
      <c r="F47" s="799">
        <f>CHOOSE(LBO!$H$6,F54,F61,F68)</f>
        <v/>
      </c>
      <c r="G47" s="799">
        <f>CHOOSE(LBO!$H$6,G54,G61,G68)</f>
        <v/>
      </c>
      <c r="H47" s="799">
        <f>CHOOSE(LBO!$H$6,H54,H61,H68)</f>
        <v/>
      </c>
      <c r="I47" s="799">
        <f>CHOOSE(LBO!$H$6,I54,I61,I68)</f>
        <v/>
      </c>
      <c r="K47" t="inlineStr">
        <is>
          <t>eFab</t>
        </is>
      </c>
      <c r="L47" s="1496">
        <f>('Consol P&amp;L'!BC10-'Consol P&amp;L'!BC20-'Consol P&amp;L'!BC30)/10^6</f>
        <v/>
      </c>
      <c r="M47" s="1497">
        <f>M14*E47</f>
        <v/>
      </c>
      <c r="N47" s="1497">
        <f>N14*F47</f>
        <v/>
      </c>
      <c r="O47" s="1497">
        <f>O14*G47</f>
        <v/>
      </c>
      <c r="P47" s="1497">
        <f>P14*H47</f>
        <v/>
      </c>
      <c r="Q47" s="1497">
        <f>Q14*I47</f>
        <v/>
      </c>
    </row>
    <row r="48">
      <c r="C48" t="inlineStr">
        <is>
          <t>eClad</t>
        </is>
      </c>
      <c r="D48" s="1004" t="n"/>
      <c r="E48" s="799">
        <f>CHOOSE(LBO!$H$6,E55,E62,E69)</f>
        <v/>
      </c>
      <c r="F48" s="799">
        <f>CHOOSE(LBO!$H$6,F55,F62,F69)</f>
        <v/>
      </c>
      <c r="G48" s="799">
        <f>CHOOSE(LBO!$H$6,G55,G62,G69)</f>
        <v/>
      </c>
      <c r="H48" s="799">
        <f>CHOOSE(LBO!$H$6,H55,H62,H69)</f>
        <v/>
      </c>
      <c r="I48" s="799">
        <f>CHOOSE(LBO!$H$6,I55,I62,I69)</f>
        <v/>
      </c>
      <c r="K48" t="inlineStr">
        <is>
          <t>eClad</t>
        </is>
      </c>
      <c r="L48" s="1496">
        <f>('Consol P&amp;L'!BC11-'Consol P&amp;L'!BC21-'Consol P&amp;L'!BC31)/10^6</f>
        <v/>
      </c>
      <c r="M48" s="1497">
        <f>M15*E48</f>
        <v/>
      </c>
      <c r="N48" s="1497">
        <f>N15*F48</f>
        <v/>
      </c>
      <c r="O48" s="1497">
        <f>O15*G48</f>
        <v/>
      </c>
      <c r="P48" s="1497">
        <f>P15*H48</f>
        <v/>
      </c>
      <c r="Q48" s="1497">
        <f>Q15*I48</f>
        <v/>
      </c>
    </row>
    <row r="49">
      <c r="K49" s="804" t="inlineStr">
        <is>
          <t>Total</t>
        </is>
      </c>
      <c r="L49" s="1499">
        <f>SUM(L45:L48)</f>
        <v/>
      </c>
      <c r="M49" s="1499">
        <f>SUM(M45:M48)</f>
        <v/>
      </c>
      <c r="N49" s="1499">
        <f>SUM(N45:N48)</f>
        <v/>
      </c>
      <c r="O49" s="1499">
        <f>SUM(O45:O48)</f>
        <v/>
      </c>
      <c r="P49" s="1499">
        <f>SUM(P45:P48)</f>
        <v/>
      </c>
      <c r="Q49" s="1499">
        <f>SUM(Q45:Q48)</f>
        <v/>
      </c>
    </row>
    <row r="50">
      <c r="K50" s="810" t="inlineStr">
        <is>
          <t>Gross Margin (%)</t>
        </is>
      </c>
      <c r="L50" s="802">
        <f>L49/L16</f>
        <v/>
      </c>
      <c r="M50" s="802">
        <f>M49/M16</f>
        <v/>
      </c>
      <c r="N50" s="802">
        <f>N49/N16</f>
        <v/>
      </c>
      <c r="O50" s="802">
        <f>O49/O16</f>
        <v/>
      </c>
      <c r="P50" s="802">
        <f>P49/P16</f>
        <v/>
      </c>
      <c r="Q50" s="802">
        <f>Q49/Q16</f>
        <v/>
      </c>
    </row>
    <row r="51">
      <c r="C51" s="683" t="inlineStr">
        <is>
          <t>Low case</t>
        </is>
      </c>
      <c r="D51" s="683" t="n"/>
    </row>
    <row r="52">
      <c r="C52" t="inlineStr">
        <is>
          <t>eBlast</t>
        </is>
      </c>
      <c r="D52" s="805">
        <f>D45</f>
        <v/>
      </c>
      <c r="E52" s="792">
        <f>D52</f>
        <v/>
      </c>
      <c r="F52" s="792">
        <f>E52</f>
        <v/>
      </c>
      <c r="G52" s="792">
        <f>F52</f>
        <v/>
      </c>
      <c r="H52" s="792">
        <f>G52</f>
        <v/>
      </c>
      <c r="I52" s="792">
        <f>H52</f>
        <v/>
      </c>
      <c r="J52" s="793" t="n"/>
      <c r="K52" t="inlineStr">
        <is>
          <t>eBlast</t>
        </is>
      </c>
      <c r="L52" s="1496">
        <f>L45</f>
        <v/>
      </c>
      <c r="M52" s="1497">
        <f>M19*E52</f>
        <v/>
      </c>
      <c r="N52" s="1497">
        <f>N19*F52</f>
        <v/>
      </c>
      <c r="O52" s="1497">
        <f>O19*G52</f>
        <v/>
      </c>
      <c r="P52" s="1497">
        <f>P19*H52</f>
        <v/>
      </c>
      <c r="Q52" s="1497">
        <f>Q19*I52</f>
        <v/>
      </c>
    </row>
    <row r="53">
      <c r="C53" t="inlineStr">
        <is>
          <t>eTest</t>
        </is>
      </c>
      <c r="D53" s="805">
        <f>D46</f>
        <v/>
      </c>
      <c r="E53" s="792">
        <f>D53</f>
        <v/>
      </c>
      <c r="F53" s="792">
        <f>E53</f>
        <v/>
      </c>
      <c r="G53" s="792">
        <f>F53</f>
        <v/>
      </c>
      <c r="H53" s="792">
        <f>G53</f>
        <v/>
      </c>
      <c r="I53" s="792">
        <f>H53</f>
        <v/>
      </c>
      <c r="K53" t="inlineStr">
        <is>
          <t>eTest</t>
        </is>
      </c>
      <c r="L53" s="1496">
        <f>L46</f>
        <v/>
      </c>
      <c r="M53" s="1497">
        <f>M20*E53</f>
        <v/>
      </c>
      <c r="N53" s="1497">
        <f>N20*F53</f>
        <v/>
      </c>
      <c r="O53" s="1497">
        <f>O20*G53</f>
        <v/>
      </c>
      <c r="P53" s="1497">
        <f>P20*H53</f>
        <v/>
      </c>
      <c r="Q53" s="1497">
        <f>Q20*I53</f>
        <v/>
      </c>
    </row>
    <row r="54">
      <c r="C54" t="inlineStr">
        <is>
          <t>eFab</t>
        </is>
      </c>
      <c r="D54" s="805">
        <f>D47</f>
        <v/>
      </c>
      <c r="E54" s="799" t="n">
        <v>0</v>
      </c>
      <c r="F54" s="799" t="n">
        <v>0</v>
      </c>
      <c r="G54" s="799" t="n">
        <v>0</v>
      </c>
      <c r="H54" s="799" t="n">
        <v>0</v>
      </c>
      <c r="I54" s="799" t="n">
        <v>0</v>
      </c>
      <c r="J54" s="793" t="n"/>
      <c r="K54" t="inlineStr">
        <is>
          <t>eFab</t>
        </is>
      </c>
      <c r="L54" s="1496">
        <f>L47</f>
        <v/>
      </c>
      <c r="M54" s="1497">
        <f>M21*E54</f>
        <v/>
      </c>
      <c r="N54" s="1497">
        <f>N21*F54</f>
        <v/>
      </c>
      <c r="O54" s="1497">
        <f>O21*G54</f>
        <v/>
      </c>
      <c r="P54" s="1497">
        <f>P21*H54</f>
        <v/>
      </c>
      <c r="Q54" s="1497">
        <f>Q21*I54</f>
        <v/>
      </c>
    </row>
    <row r="55">
      <c r="C55" t="inlineStr">
        <is>
          <t>eClad</t>
        </is>
      </c>
      <c r="D55" s="805">
        <f>D48</f>
        <v/>
      </c>
      <c r="E55" s="799" t="n">
        <v>0</v>
      </c>
      <c r="F55" s="799" t="n">
        <v>0</v>
      </c>
      <c r="G55" s="799" t="n">
        <v>0</v>
      </c>
      <c r="H55" s="799" t="n">
        <v>0</v>
      </c>
      <c r="I55" s="799" t="n">
        <v>0</v>
      </c>
      <c r="J55" s="793" t="n"/>
      <c r="K55" t="inlineStr">
        <is>
          <t>eClad</t>
        </is>
      </c>
      <c r="L55" s="1496">
        <f>L48</f>
        <v/>
      </c>
      <c r="M55" s="1497">
        <f>M22*E55</f>
        <v/>
      </c>
      <c r="N55" s="1497">
        <f>N22*F55</f>
        <v/>
      </c>
      <c r="O55" s="1497">
        <f>O22*G55</f>
        <v/>
      </c>
      <c r="P55" s="1497">
        <f>P22*H55</f>
        <v/>
      </c>
      <c r="Q55" s="1497">
        <f>Q22*I55</f>
        <v/>
      </c>
    </row>
    <row r="56">
      <c r="D56" s="802" t="n"/>
      <c r="E56" s="799" t="n"/>
      <c r="F56" s="799" t="n"/>
      <c r="G56" s="799" t="n"/>
      <c r="H56" s="799" t="n"/>
      <c r="I56" s="799" t="n"/>
      <c r="J56" s="793" t="n"/>
      <c r="K56" s="804" t="inlineStr">
        <is>
          <t>Total</t>
        </is>
      </c>
      <c r="L56" s="1499">
        <f>SUM(L52:L55)</f>
        <v/>
      </c>
      <c r="M56" s="1499">
        <f>SUM(M52:M55)</f>
        <v/>
      </c>
      <c r="N56" s="1499">
        <f>SUM(N52:N55)</f>
        <v/>
      </c>
      <c r="O56" s="1499">
        <f>SUM(O52:O55)</f>
        <v/>
      </c>
      <c r="P56" s="1499">
        <f>SUM(P52:P55)</f>
        <v/>
      </c>
      <c r="Q56" s="1499">
        <f>SUM(Q52:Q55)</f>
        <v/>
      </c>
    </row>
    <row r="57">
      <c r="E57" s="799" t="n"/>
      <c r="F57" s="799" t="n"/>
      <c r="G57" s="799" t="n"/>
      <c r="H57" s="799" t="n"/>
      <c r="I57" s="799" t="n"/>
      <c r="J57" s="793" t="n"/>
      <c r="K57" s="793" t="n"/>
    </row>
    <row r="58">
      <c r="C58" s="683" t="inlineStr">
        <is>
          <t>Base case</t>
        </is>
      </c>
      <c r="D58" s="683" t="n"/>
      <c r="E58" s="799" t="n"/>
      <c r="F58" s="799" t="n"/>
      <c r="G58" s="799" t="n"/>
      <c r="H58" s="799" t="n"/>
      <c r="I58" s="799" t="n"/>
      <c r="J58" s="793" t="n"/>
      <c r="K58" s="793" t="n"/>
    </row>
    <row r="59">
      <c r="C59" t="inlineStr">
        <is>
          <t>eBlast</t>
        </is>
      </c>
      <c r="D59" s="805">
        <f>D45</f>
        <v/>
      </c>
      <c r="E59" s="792">
        <f>D59</f>
        <v/>
      </c>
      <c r="F59" s="792">
        <f>E59</f>
        <v/>
      </c>
      <c r="G59" s="792">
        <f>F59</f>
        <v/>
      </c>
      <c r="H59" s="792">
        <f>G59</f>
        <v/>
      </c>
      <c r="I59" s="792">
        <f>H59</f>
        <v/>
      </c>
      <c r="J59" s="793" t="n"/>
      <c r="K59" t="inlineStr">
        <is>
          <t>eBlast</t>
        </is>
      </c>
      <c r="L59" s="1496">
        <f>L52</f>
        <v/>
      </c>
      <c r="M59" s="1497">
        <f>M26*E59</f>
        <v/>
      </c>
      <c r="N59" s="1497">
        <f>N26*F59</f>
        <v/>
      </c>
      <c r="O59" s="1497">
        <f>O26*G59</f>
        <v/>
      </c>
      <c r="P59" s="1497">
        <f>P26*H59</f>
        <v/>
      </c>
      <c r="Q59" s="1497">
        <f>Q26*I59</f>
        <v/>
      </c>
    </row>
    <row r="60">
      <c r="C60" t="inlineStr">
        <is>
          <t>eTest</t>
        </is>
      </c>
      <c r="D60" s="805">
        <f>D46</f>
        <v/>
      </c>
      <c r="E60" s="792">
        <f>D60</f>
        <v/>
      </c>
      <c r="F60" s="792">
        <f>E60</f>
        <v/>
      </c>
      <c r="G60" s="792">
        <f>F60</f>
        <v/>
      </c>
      <c r="H60" s="792">
        <f>G60</f>
        <v/>
      </c>
      <c r="I60" s="792">
        <f>H60</f>
        <v/>
      </c>
      <c r="J60" s="793" t="n"/>
      <c r="K60" t="inlineStr">
        <is>
          <t>eTest</t>
        </is>
      </c>
      <c r="L60" s="1496">
        <f>L53</f>
        <v/>
      </c>
      <c r="M60" s="1497">
        <f>M27*E60</f>
        <v/>
      </c>
      <c r="N60" s="1497">
        <f>N27*F60</f>
        <v/>
      </c>
      <c r="O60" s="1497">
        <f>O27*G60</f>
        <v/>
      </c>
      <c r="P60" s="1497">
        <f>P27*H60</f>
        <v/>
      </c>
      <c r="Q60" s="1497">
        <f>Q27*I60</f>
        <v/>
      </c>
    </row>
    <row r="61">
      <c r="C61" t="inlineStr">
        <is>
          <t>eFab</t>
        </is>
      </c>
      <c r="D61" s="805">
        <f>D47</f>
        <v/>
      </c>
      <c r="E61" s="799" t="n">
        <v>0</v>
      </c>
      <c r="F61" s="799" t="n">
        <v>0</v>
      </c>
      <c r="G61" s="799" t="n">
        <v>0</v>
      </c>
      <c r="H61" s="799" t="n">
        <v>0</v>
      </c>
      <c r="I61" s="799" t="n">
        <v>0</v>
      </c>
      <c r="J61" s="793" t="n"/>
      <c r="K61" t="inlineStr">
        <is>
          <t>eFab</t>
        </is>
      </c>
      <c r="L61" s="1496">
        <f>L54</f>
        <v/>
      </c>
      <c r="M61" s="1497">
        <f>M28*E61</f>
        <v/>
      </c>
      <c r="N61" s="1497">
        <f>N28*F61</f>
        <v/>
      </c>
      <c r="O61" s="1497">
        <f>O28*G61</f>
        <v/>
      </c>
      <c r="P61" s="1497">
        <f>P28*H61</f>
        <v/>
      </c>
      <c r="Q61" s="1497">
        <f>Q28*I61</f>
        <v/>
      </c>
    </row>
    <row r="62">
      <c r="C62" t="inlineStr">
        <is>
          <t>eClad</t>
        </is>
      </c>
      <c r="D62" s="805">
        <f>D48</f>
        <v/>
      </c>
      <c r="E62" s="799" t="n">
        <v>0</v>
      </c>
      <c r="F62" s="799" t="n">
        <v>0</v>
      </c>
      <c r="G62" s="799" t="n">
        <v>0</v>
      </c>
      <c r="H62" s="799" t="n">
        <v>0</v>
      </c>
      <c r="I62" s="799" t="n">
        <v>0</v>
      </c>
      <c r="J62" s="793" t="n"/>
      <c r="K62" t="inlineStr">
        <is>
          <t>eClad</t>
        </is>
      </c>
      <c r="L62" s="1496">
        <f>L55</f>
        <v/>
      </c>
      <c r="M62" s="1497">
        <f>M29*E62</f>
        <v/>
      </c>
      <c r="N62" s="1497">
        <f>N29*F62</f>
        <v/>
      </c>
      <c r="O62" s="1497">
        <f>O29*G62</f>
        <v/>
      </c>
      <c r="P62" s="1497">
        <f>P29*H62</f>
        <v/>
      </c>
      <c r="Q62" s="1497">
        <f>Q29*I62</f>
        <v/>
      </c>
    </row>
    <row r="63">
      <c r="D63" s="802" t="n"/>
      <c r="E63" s="799" t="n"/>
      <c r="F63" s="799" t="n"/>
      <c r="G63" s="799" t="n"/>
      <c r="H63" s="799" t="n"/>
      <c r="I63" s="799" t="n"/>
      <c r="J63" s="793" t="n"/>
      <c r="K63" s="804" t="inlineStr">
        <is>
          <t>Total</t>
        </is>
      </c>
      <c r="L63" s="1499">
        <f>SUM(L59:L62)</f>
        <v/>
      </c>
      <c r="M63" s="1499">
        <f>SUM(M59:M62)</f>
        <v/>
      </c>
      <c r="N63" s="1499">
        <f>SUM(N59:N62)</f>
        <v/>
      </c>
      <c r="O63" s="1499">
        <f>SUM(O59:O62)</f>
        <v/>
      </c>
      <c r="P63" s="1499">
        <f>SUM(P59:P62)</f>
        <v/>
      </c>
      <c r="Q63" s="1499">
        <f>SUM(Q59:Q62)</f>
        <v/>
      </c>
    </row>
    <row r="64">
      <c r="E64" s="799" t="n"/>
      <c r="F64" s="799" t="n"/>
      <c r="G64" s="799" t="n"/>
      <c r="H64" s="799" t="n"/>
      <c r="I64" s="799" t="n"/>
      <c r="J64" s="793" t="n"/>
      <c r="K64" s="793" t="n"/>
    </row>
    <row r="65">
      <c r="C65" s="683" t="inlineStr">
        <is>
          <t>Upside case</t>
        </is>
      </c>
      <c r="D65" s="683" t="n"/>
      <c r="E65" s="799" t="n"/>
      <c r="F65" s="799" t="n"/>
      <c r="G65" s="799" t="n"/>
      <c r="H65" s="799" t="n"/>
      <c r="I65" s="799" t="n"/>
      <c r="J65" s="793" t="n"/>
      <c r="K65" s="793" t="n"/>
    </row>
    <row r="66">
      <c r="C66" t="inlineStr">
        <is>
          <t>eBlast</t>
        </is>
      </c>
      <c r="D66" s="805">
        <f>D59</f>
        <v/>
      </c>
      <c r="E66" s="792">
        <f>D66</f>
        <v/>
      </c>
      <c r="F66" s="792">
        <f>E66</f>
        <v/>
      </c>
      <c r="G66" s="792">
        <f>F66</f>
        <v/>
      </c>
      <c r="H66" s="792">
        <f>G66</f>
        <v/>
      </c>
      <c r="I66" s="792">
        <f>H66</f>
        <v/>
      </c>
      <c r="J66" s="793" t="n"/>
      <c r="K66" t="inlineStr">
        <is>
          <t>eBlast</t>
        </is>
      </c>
      <c r="L66" s="1496">
        <f>L59</f>
        <v/>
      </c>
      <c r="M66" s="1497">
        <f>M33*E66</f>
        <v/>
      </c>
      <c r="N66" s="1497">
        <f>N33*F66</f>
        <v/>
      </c>
      <c r="O66" s="1497">
        <f>O33*G66</f>
        <v/>
      </c>
      <c r="P66" s="1497">
        <f>P33*H66</f>
        <v/>
      </c>
      <c r="Q66" s="1497">
        <f>Q33*I66</f>
        <v/>
      </c>
    </row>
    <row r="67">
      <c r="C67" t="inlineStr">
        <is>
          <t>eTest</t>
        </is>
      </c>
      <c r="D67" s="805">
        <f>D60</f>
        <v/>
      </c>
      <c r="E67" s="792">
        <f>D67</f>
        <v/>
      </c>
      <c r="F67" s="792">
        <f>E67</f>
        <v/>
      </c>
      <c r="G67" s="792">
        <f>F67</f>
        <v/>
      </c>
      <c r="H67" s="792">
        <f>G67</f>
        <v/>
      </c>
      <c r="I67" s="792">
        <f>H67</f>
        <v/>
      </c>
      <c r="J67" s="793" t="n"/>
      <c r="K67" t="inlineStr">
        <is>
          <t>eTest</t>
        </is>
      </c>
      <c r="L67" s="1496">
        <f>L60</f>
        <v/>
      </c>
      <c r="M67" s="1497">
        <f>M34*E67</f>
        <v/>
      </c>
      <c r="N67" s="1497">
        <f>N34*F67</f>
        <v/>
      </c>
      <c r="O67" s="1497">
        <f>O34*G67</f>
        <v/>
      </c>
      <c r="P67" s="1497">
        <f>P34*H67</f>
        <v/>
      </c>
      <c r="Q67" s="1497">
        <f>Q34*I67</f>
        <v/>
      </c>
    </row>
    <row r="68">
      <c r="C68" t="inlineStr">
        <is>
          <t>eFab</t>
        </is>
      </c>
      <c r="D68" s="805">
        <f>D61</f>
        <v/>
      </c>
      <c r="E68" s="799" t="n">
        <v>0</v>
      </c>
      <c r="F68" s="799" t="n">
        <v>0</v>
      </c>
      <c r="G68" s="799" t="n">
        <v>0</v>
      </c>
      <c r="H68" s="799" t="n">
        <v>0</v>
      </c>
      <c r="I68" s="799" t="n">
        <v>0</v>
      </c>
      <c r="J68" s="793" t="n"/>
      <c r="K68" t="inlineStr">
        <is>
          <t>eFab</t>
        </is>
      </c>
      <c r="L68" s="1496">
        <f>L61</f>
        <v/>
      </c>
      <c r="M68" s="1497">
        <f>M35*E68</f>
        <v/>
      </c>
      <c r="N68" s="1497">
        <f>N35*F68</f>
        <v/>
      </c>
      <c r="O68" s="1497">
        <f>O35*G68</f>
        <v/>
      </c>
      <c r="P68" s="1497">
        <f>P35*H68</f>
        <v/>
      </c>
      <c r="Q68" s="1497">
        <f>Q35*I68</f>
        <v/>
      </c>
    </row>
    <row r="69">
      <c r="C69" t="inlineStr">
        <is>
          <t>eClad</t>
        </is>
      </c>
      <c r="D69" s="805">
        <f>D62</f>
        <v/>
      </c>
      <c r="E69" s="799" t="n">
        <v>0</v>
      </c>
      <c r="F69" s="799" t="n">
        <v>0</v>
      </c>
      <c r="G69" s="799" t="n">
        <v>0</v>
      </c>
      <c r="H69" s="799" t="n">
        <v>0</v>
      </c>
      <c r="I69" s="799" t="n">
        <v>0</v>
      </c>
      <c r="J69" s="793" t="n"/>
      <c r="K69" t="inlineStr">
        <is>
          <t>eClad</t>
        </is>
      </c>
      <c r="L69" s="1496">
        <f>L62</f>
        <v/>
      </c>
      <c r="M69" s="1497">
        <f>M36*E69</f>
        <v/>
      </c>
      <c r="N69" s="1497">
        <f>N36*F69</f>
        <v/>
      </c>
      <c r="O69" s="1497">
        <f>O36*G69</f>
        <v/>
      </c>
      <c r="P69" s="1497">
        <f>P36*H69</f>
        <v/>
      </c>
      <c r="Q69" s="1497">
        <f>Q36*I69</f>
        <v/>
      </c>
    </row>
    <row r="70">
      <c r="D70" s="802" t="n"/>
      <c r="E70" s="799" t="n"/>
      <c r="F70" s="799" t="n"/>
      <c r="G70" s="799" t="n"/>
      <c r="H70" s="799" t="n"/>
      <c r="I70" s="799" t="n"/>
      <c r="J70" s="793" t="n"/>
      <c r="K70" s="804" t="inlineStr">
        <is>
          <t>Total</t>
        </is>
      </c>
      <c r="L70" s="1499">
        <f>SUM(L66:L69)</f>
        <v/>
      </c>
      <c r="M70" s="1499">
        <f>SUM(M66:M69)</f>
        <v/>
      </c>
      <c r="N70" s="1499">
        <f>SUM(N66:N69)</f>
        <v/>
      </c>
      <c r="O70" s="1499">
        <f>SUM(O66:O69)</f>
        <v/>
      </c>
      <c r="P70" s="1499">
        <f>SUM(P66:P69)</f>
        <v/>
      </c>
      <c r="Q70" s="1499">
        <f>SUM(Q66:Q69)</f>
        <v/>
      </c>
    </row>
    <row r="71">
      <c r="E71" s="800" t="n"/>
      <c r="F71" s="800" t="n"/>
      <c r="G71" s="800" t="n"/>
      <c r="H71" s="800" t="n"/>
      <c r="I71" s="800" t="n"/>
    </row>
    <row r="72">
      <c r="B72" s="788" t="n">
        <v>4</v>
      </c>
      <c r="C72" s="789" t="inlineStr">
        <is>
          <t>EBITDA Margin (Pre central costs)</t>
        </is>
      </c>
      <c r="D72" s="789" t="n"/>
      <c r="E72" s="789" t="n"/>
      <c r="F72" s="789" t="n"/>
      <c r="G72" s="789" t="n"/>
      <c r="H72" s="789" t="n"/>
      <c r="I72" s="789" t="n"/>
      <c r="J72" s="789" t="n"/>
      <c r="K72" s="789" t="n"/>
      <c r="L72" s="789" t="n"/>
      <c r="M72" s="789" t="n"/>
      <c r="N72" s="789" t="n"/>
      <c r="O72" s="789" t="n"/>
      <c r="P72" s="789" t="n"/>
      <c r="Q72" s="789" t="n"/>
      <c r="R72" s="789" t="n"/>
      <c r="S72" s="789" t="n"/>
      <c r="T72" s="789" t="n"/>
    </row>
    <row r="73">
      <c r="E73" s="1500" t="n"/>
      <c r="F73" s="1500" t="n"/>
      <c r="G73" s="1500" t="n"/>
      <c r="H73" s="1500" t="n"/>
      <c r="I73" s="1500" t="n"/>
    </row>
    <row r="74">
      <c r="D74" s="788" t="inlineStr">
        <is>
          <t>Historical (2025)</t>
        </is>
      </c>
      <c r="E74" s="798" t="n">
        <v>46357</v>
      </c>
      <c r="F74" s="798">
        <f>EDATE(E74,12)</f>
        <v/>
      </c>
      <c r="G74" s="798">
        <f>EDATE(F74,12)</f>
        <v/>
      </c>
      <c r="H74" s="798">
        <f>EDATE(G74,12)</f>
        <v/>
      </c>
      <c r="I74" s="798">
        <f>EDATE(H74,12)</f>
        <v/>
      </c>
    </row>
    <row r="75">
      <c r="C75" t="inlineStr">
        <is>
          <t>Low</t>
        </is>
      </c>
      <c r="D75" s="1002">
        <f>'Dec-25 LTM_P&amp;L'!$K$28/'Dec-25 LTM_P&amp;L'!$J$12</f>
        <v/>
      </c>
      <c r="E75" s="792">
        <f>D75</f>
        <v/>
      </c>
      <c r="F75" s="792">
        <f>E75</f>
        <v/>
      </c>
      <c r="G75" s="792">
        <f>F75</f>
        <v/>
      </c>
      <c r="H75" s="792">
        <f>G75</f>
        <v/>
      </c>
      <c r="I75" s="792">
        <f>H75</f>
        <v/>
      </c>
      <c r="J75" s="793" t="n"/>
      <c r="K75" t="inlineStr">
        <is>
          <t>Low</t>
        </is>
      </c>
      <c r="L75" s="1496">
        <f>'Consol P&amp;L'!$BC$65/10^6</f>
        <v/>
      </c>
      <c r="M75" s="1497">
        <f>M23*E75</f>
        <v/>
      </c>
      <c r="N75" s="1497">
        <f>N23*F75</f>
        <v/>
      </c>
      <c r="O75" s="1497">
        <f>O23*G75</f>
        <v/>
      </c>
      <c r="P75" s="1497">
        <f>P23*H75</f>
        <v/>
      </c>
      <c r="Q75" s="1497">
        <f>Q23*I75</f>
        <v/>
      </c>
    </row>
    <row r="76">
      <c r="C76" t="inlineStr">
        <is>
          <t>Base</t>
        </is>
      </c>
      <c r="D76" s="1003">
        <f>'Dec-25 LTM_P&amp;L'!$K$28/'Dec-25 LTM_P&amp;L'!$J$12</f>
        <v/>
      </c>
      <c r="E76" s="792">
        <f>D76</f>
        <v/>
      </c>
      <c r="F76" s="792">
        <f>E76</f>
        <v/>
      </c>
      <c r="G76" s="792">
        <f>F76</f>
        <v/>
      </c>
      <c r="H76" s="792">
        <f>G76</f>
        <v/>
      </c>
      <c r="I76" s="792">
        <f>H76</f>
        <v/>
      </c>
      <c r="K76" t="inlineStr">
        <is>
          <t>Base</t>
        </is>
      </c>
      <c r="L76" s="1496">
        <f>'Consol P&amp;L'!$BC$65/10^6</f>
        <v/>
      </c>
      <c r="M76" s="1497">
        <f>M30*E76</f>
        <v/>
      </c>
      <c r="N76" s="1497">
        <f>N30*F76</f>
        <v/>
      </c>
      <c r="O76" s="1497">
        <f>O30*G76</f>
        <v/>
      </c>
      <c r="P76" s="1497">
        <f>P30*H76</f>
        <v/>
      </c>
      <c r="Q76" s="1497">
        <f>Q30*I76</f>
        <v/>
      </c>
    </row>
    <row r="77">
      <c r="C77" t="inlineStr">
        <is>
          <t>Upside</t>
        </is>
      </c>
      <c r="D77" s="1003">
        <f>'Dec-25 LTM_P&amp;L'!$K$28/'Dec-25 LTM_P&amp;L'!$J$12</f>
        <v/>
      </c>
      <c r="E77" s="792">
        <f>D77</f>
        <v/>
      </c>
      <c r="F77" s="792">
        <f>E77</f>
        <v/>
      </c>
      <c r="G77" s="792">
        <f>F77</f>
        <v/>
      </c>
      <c r="H77" s="792">
        <f>G77</f>
        <v/>
      </c>
      <c r="I77" s="792">
        <f>H77</f>
        <v/>
      </c>
      <c r="J77" s="793" t="n"/>
      <c r="K77" t="inlineStr">
        <is>
          <t>High</t>
        </is>
      </c>
      <c r="L77" s="1496">
        <f>'Consol P&amp;L'!$BC$65/10^6</f>
        <v/>
      </c>
      <c r="M77" s="1497">
        <f>M37*E77</f>
        <v/>
      </c>
      <c r="N77" s="1497">
        <f>N37*F77</f>
        <v/>
      </c>
      <c r="O77" s="1497">
        <f>O37*G77</f>
        <v/>
      </c>
      <c r="P77" s="1497">
        <f>P37*H77</f>
        <v/>
      </c>
      <c r="Q77" s="1497">
        <f>Q37*I77</f>
        <v/>
      </c>
    </row>
    <row r="79">
      <c r="B79" s="788" t="n">
        <v>5</v>
      </c>
      <c r="C79" s="789" t="inlineStr">
        <is>
          <t>Central Team Costs</t>
        </is>
      </c>
      <c r="D79" s="789" t="n"/>
      <c r="E79" s="789" t="n"/>
      <c r="F79" s="789" t="n"/>
      <c r="G79" s="789" t="n"/>
      <c r="H79" s="789" t="n"/>
      <c r="I79" s="789" t="n"/>
      <c r="J79" s="789" t="n"/>
      <c r="K79" s="789" t="n"/>
      <c r="L79" s="789" t="n"/>
      <c r="M79" s="789" t="n"/>
      <c r="N79" s="789" t="n"/>
      <c r="O79" s="789" t="n"/>
      <c r="P79" s="789" t="n"/>
      <c r="Q79" s="789" t="n"/>
      <c r="R79" s="789" t="n"/>
      <c r="S79" s="789" t="n"/>
      <c r="T79" s="789" t="n"/>
    </row>
    <row r="81">
      <c r="E81" s="798" t="n">
        <v>46357</v>
      </c>
      <c r="F81" s="798">
        <f>EDATE(E81,12)</f>
        <v/>
      </c>
      <c r="G81" s="798">
        <f>EDATE(F81,12)</f>
        <v/>
      </c>
      <c r="H81" s="798">
        <f>EDATE(G81,12)</f>
        <v/>
      </c>
      <c r="I81" s="798">
        <f>EDATE(H81,12)</f>
        <v/>
      </c>
    </row>
    <row r="82">
      <c r="E82" s="1501" t="n">
        <v>-0.5</v>
      </c>
      <c r="F82" s="1501" t="n">
        <v>-0.75</v>
      </c>
      <c r="G82" s="1501" t="n">
        <v>-1</v>
      </c>
      <c r="H82" s="1501" t="n">
        <v>-1.1</v>
      </c>
      <c r="I82" s="1501" t="n">
        <v>-1.1</v>
      </c>
    </row>
    <row r="85">
      <c r="B85" s="788" t="n">
        <v>6</v>
      </c>
      <c r="C85" s="789" t="inlineStr">
        <is>
          <t>M&amp;A Assumptions</t>
        </is>
      </c>
      <c r="D85" s="789" t="n"/>
      <c r="E85" s="789" t="n"/>
      <c r="F85" s="789" t="n"/>
      <c r="G85" s="789" t="n"/>
      <c r="H85" s="789" t="n"/>
      <c r="I85" s="789" t="n"/>
      <c r="J85" s="789" t="n"/>
      <c r="K85" s="789" t="n"/>
      <c r="L85" s="789" t="n"/>
      <c r="M85" s="789" t="n"/>
      <c r="N85" s="789" t="n"/>
      <c r="O85" s="789" t="n"/>
      <c r="P85" s="789" t="n"/>
      <c r="Q85" s="789" t="n"/>
      <c r="R85" s="789" t="n"/>
      <c r="S85" s="789" t="n"/>
      <c r="T85" s="789" t="n"/>
    </row>
    <row r="88">
      <c r="C88" t="inlineStr">
        <is>
          <t>Entry Multiple</t>
        </is>
      </c>
      <c r="E88" s="1495" t="n">
        <v>5</v>
      </c>
    </row>
    <row r="89">
      <c r="C89" t="inlineStr">
        <is>
          <t>EBITDA Margin</t>
        </is>
      </c>
      <c r="E89" s="792">
        <f>D76</f>
        <v/>
      </c>
    </row>
    <row r="92">
      <c r="E92" s="683" t="inlineStr">
        <is>
          <t>Multiple</t>
        </is>
      </c>
      <c r="F92" s="683" t="inlineStr">
        <is>
          <t>EBITDA / acquisition</t>
        </is>
      </c>
    </row>
    <row r="93">
      <c r="C93" t="inlineStr">
        <is>
          <t>Low case</t>
        </is>
      </c>
      <c r="E93" s="1495" t="n">
        <v>5</v>
      </c>
      <c r="F93" s="1502" t="n"/>
    </row>
    <row r="94">
      <c r="C94" t="inlineStr">
        <is>
          <t>Base case</t>
        </is>
      </c>
      <c r="E94" s="1495" t="n">
        <v>5</v>
      </c>
      <c r="F94" s="1502" t="n"/>
    </row>
    <row r="95">
      <c r="C95" t="inlineStr">
        <is>
          <t>Upside case</t>
        </is>
      </c>
      <c r="E95" s="1495" t="n">
        <v>5.5</v>
      </c>
      <c r="F95" s="1502" t="n"/>
    </row>
  </sheetData>
  <pageMargins left="0.7" right="0.7" top="0.75" bottom="0.75" header="0.3" footer="0.3"/>
  <pageSetup orientation="portrait" paperSize="9" horizontalDpi="1200" verticalDpi="12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selection activeCell="E11" sqref="E11"/>
    </sheetView>
  </sheetViews>
  <sheetFormatPr baseColWidth="8" defaultRowHeight="15"/>
  <cols>
    <col width="2.85546875" customWidth="1" min="1" max="1"/>
    <col width="38" customWidth="1" min="2" max="2"/>
    <col width="2.5703125" customWidth="1" min="3" max="3"/>
    <col width="14.28515625" customWidth="1" min="4" max="5"/>
    <col hidden="1" width="14.28515625" customWidth="1" min="6" max="6"/>
    <col width="14.28515625" customWidth="1" min="7" max="10"/>
    <col width="9.140625" bestFit="1" customWidth="1" min="11" max="12"/>
  </cols>
  <sheetData>
    <row r="1" ht="21.75" customHeight="1">
      <c r="C1" s="929" t="n"/>
      <c r="D1" s="930" t="n"/>
      <c r="E1" s="930" t="n"/>
      <c r="F1" s="930" t="n"/>
      <c r="G1" s="930" t="n"/>
      <c r="H1" s="930" t="n"/>
      <c r="I1" s="930" t="n"/>
      <c r="J1" s="930" t="n"/>
    </row>
    <row r="2" ht="19.5" customHeight="1" thickBot="1">
      <c r="C2" s="1027" t="n"/>
      <c r="D2" s="1503" t="n"/>
      <c r="E2" s="931" t="n"/>
      <c r="F2" s="931" t="n"/>
      <c r="G2" s="931" t="n"/>
      <c r="H2" s="931" t="n"/>
      <c r="I2" s="931" t="n"/>
      <c r="J2" s="931" t="n"/>
    </row>
    <row r="3" ht="15.75" customHeight="1" thickTop="1">
      <c r="B3" s="704" t="n"/>
      <c r="C3" s="704" t="n"/>
      <c r="D3" s="704" t="n"/>
      <c r="E3" s="704" t="n"/>
      <c r="F3" s="704" t="n"/>
      <c r="G3" s="704" t="n"/>
      <c r="H3" s="704" t="n"/>
      <c r="I3" s="704" t="n"/>
      <c r="J3" s="704" t="n"/>
    </row>
    <row r="4">
      <c r="B4" s="704" t="n"/>
      <c r="C4" s="704" t="n"/>
    </row>
    <row r="5" ht="15" customHeight="1">
      <c r="B5" s="732" t="n"/>
      <c r="C5" s="704" t="n"/>
      <c r="D5" s="1028" t="n"/>
    </row>
    <row r="6" ht="38.25" customHeight="1">
      <c r="B6" s="932" t="n"/>
      <c r="C6" s="933" t="n"/>
      <c r="D6" s="934" t="n"/>
      <c r="E6" s="934" t="n"/>
      <c r="F6" s="934" t="n"/>
      <c r="G6" s="934" t="n"/>
      <c r="H6" s="934" t="n"/>
      <c r="I6" s="934" t="n"/>
      <c r="J6" s="934" t="n"/>
    </row>
    <row r="7">
      <c r="B7" s="732" t="n"/>
      <c r="C7" s="933" t="n"/>
      <c r="D7" s="935" t="n"/>
      <c r="E7" s="935" t="n"/>
      <c r="F7" s="935" t="n"/>
      <c r="G7" s="935" t="n"/>
      <c r="H7" s="935" t="n"/>
      <c r="I7" s="936" t="n"/>
      <c r="J7" s="937" t="n"/>
    </row>
    <row r="8" ht="15.75" customHeight="1" thickBot="1">
      <c r="B8" s="712" t="n"/>
      <c r="C8" s="713" t="n"/>
      <c r="D8" s="713" t="n"/>
      <c r="E8" s="713" t="n"/>
      <c r="F8" s="713" t="n"/>
      <c r="G8" s="713" t="n"/>
      <c r="H8" s="713" t="n"/>
      <c r="I8" s="713" t="n"/>
      <c r="J8" s="713" t="n"/>
    </row>
    <row r="9" ht="15.75" customHeight="1" thickTop="1">
      <c r="B9" s="715" t="n"/>
      <c r="C9" s="938" t="n"/>
      <c r="D9" s="1504" t="n"/>
      <c r="E9" s="1505" t="n"/>
      <c r="F9" s="1504" t="n"/>
      <c r="G9" s="1504" t="n"/>
      <c r="H9" s="1504" t="n"/>
      <c r="I9" s="1504" t="n"/>
      <c r="J9" s="1506" t="n"/>
    </row>
    <row r="10">
      <c r="B10" s="724" t="n"/>
      <c r="C10" s="938" t="n"/>
      <c r="D10" s="1504" t="n"/>
      <c r="E10" s="1505" t="n"/>
      <c r="F10" s="1504" t="n"/>
      <c r="G10" s="1504" t="n"/>
      <c r="H10" s="1504" t="n"/>
      <c r="I10" s="1504" t="n"/>
      <c r="J10" s="1506" t="n"/>
    </row>
    <row r="11">
      <c r="B11" s="939" t="n"/>
      <c r="C11" s="938" t="n"/>
      <c r="D11" s="1504" t="n"/>
      <c r="E11" s="1505" t="n"/>
      <c r="F11" s="1504" t="n"/>
      <c r="G11" s="1504" t="n"/>
      <c r="H11" s="1504" t="n"/>
      <c r="I11" s="1504" t="n"/>
      <c r="J11" s="1506" t="n"/>
    </row>
    <row r="12">
      <c r="B12" s="736" t="n"/>
      <c r="C12" s="940" t="n"/>
      <c r="D12" s="1506" t="n"/>
      <c r="E12" s="1506" t="n"/>
      <c r="F12" s="1506" t="n"/>
      <c r="G12" s="1506" t="n"/>
      <c r="H12" s="1506" t="n"/>
      <c r="I12" s="1506" t="n"/>
      <c r="J12" s="1506" t="n"/>
    </row>
    <row r="13">
      <c r="B13" s="732" t="n"/>
      <c r="C13" s="732" t="n"/>
      <c r="D13" s="941" t="n"/>
      <c r="E13" s="941" t="n"/>
      <c r="F13" s="941" t="n"/>
      <c r="G13" s="941" t="n"/>
      <c r="H13" s="941" t="n"/>
      <c r="I13" s="941" t="n"/>
      <c r="J13" s="941" t="n"/>
    </row>
    <row r="14" ht="15.75" customHeight="1" thickBot="1">
      <c r="B14" s="712" t="n"/>
      <c r="C14" s="713" t="n"/>
      <c r="D14" s="713" t="n"/>
      <c r="E14" s="713" t="n"/>
      <c r="F14" s="713" t="n"/>
      <c r="G14" s="713" t="n"/>
      <c r="H14" s="713" t="n"/>
      <c r="I14" s="713" t="n"/>
      <c r="J14" s="942" t="n"/>
    </row>
    <row r="15" ht="15.75" customHeight="1" thickTop="1">
      <c r="B15" s="715" t="n"/>
      <c r="C15" s="713" t="n"/>
      <c r="D15" s="1504" t="n"/>
      <c r="E15" s="1504" t="n"/>
      <c r="F15" s="1504" t="n"/>
      <c r="G15" s="1504" t="n"/>
      <c r="H15" s="1504" t="n"/>
      <c r="I15" s="1504" t="n"/>
      <c r="J15" s="1506" t="n"/>
    </row>
    <row r="16">
      <c r="B16" s="939" t="n"/>
      <c r="C16" s="713" t="n"/>
      <c r="D16" s="1504" t="n"/>
      <c r="E16" s="1504" t="n"/>
      <c r="F16" s="1504" t="n"/>
      <c r="G16" s="1504" t="n"/>
      <c r="H16" s="1504" t="n"/>
      <c r="I16" s="1504" t="n"/>
      <c r="J16" s="1506" t="n"/>
    </row>
    <row r="17">
      <c r="B17" s="939" t="n"/>
      <c r="C17" s="713" t="n"/>
      <c r="D17" s="1504" t="n"/>
      <c r="E17" s="1504" t="n"/>
      <c r="F17" s="1504" t="n"/>
      <c r="G17" s="1504" t="n"/>
      <c r="H17" s="1504" t="n"/>
      <c r="I17" s="1504" t="n"/>
      <c r="J17" s="1506" t="n"/>
    </row>
    <row r="18">
      <c r="B18" s="736" t="n"/>
      <c r="C18" s="940" t="n"/>
      <c r="D18" s="1506" t="n"/>
      <c r="E18" s="1506" t="n"/>
      <c r="F18" s="1506" t="n"/>
      <c r="G18" s="1506" t="n"/>
      <c r="H18" s="1506" t="n"/>
      <c r="I18" s="1506" t="n"/>
      <c r="J18" s="1506" t="n"/>
    </row>
    <row r="19">
      <c r="B19" s="732" t="n"/>
      <c r="C19" s="732" t="n"/>
      <c r="D19" s="941" t="n"/>
      <c r="E19" s="941" t="n"/>
      <c r="F19" s="941" t="n"/>
      <c r="G19" s="941" t="n"/>
      <c r="H19" s="941" t="n"/>
      <c r="I19" s="941" t="n"/>
      <c r="J19" s="941" t="n"/>
    </row>
    <row r="20">
      <c r="B20" s="730" t="n"/>
      <c r="C20" s="940" t="n"/>
      <c r="D20" s="1507" t="n"/>
      <c r="E20" s="1507" t="n"/>
      <c r="F20" s="1507" t="n"/>
      <c r="G20" s="1507" t="n"/>
      <c r="H20" s="1507" t="n"/>
      <c r="I20" s="1507" t="n"/>
      <c r="J20" s="1507" t="n"/>
    </row>
    <row r="21">
      <c r="B21" s="732" t="n"/>
      <c r="C21" s="732" t="n"/>
      <c r="D21" s="733" t="n"/>
      <c r="E21" s="733" t="n"/>
      <c r="F21" s="733" t="n"/>
      <c r="G21" s="733" t="n"/>
      <c r="H21" s="733" t="n"/>
      <c r="I21" s="733" t="n"/>
      <c r="J21" s="733" t="n"/>
    </row>
    <row r="22" ht="15.75" customHeight="1" thickBot="1">
      <c r="B22" s="712" t="n"/>
      <c r="C22" s="713" t="n"/>
      <c r="D22" s="713" t="n"/>
      <c r="E22" s="713" t="n"/>
      <c r="F22" s="713" t="n"/>
      <c r="G22" s="713" t="n"/>
      <c r="H22" s="713" t="n"/>
      <c r="I22" s="713" t="n"/>
      <c r="J22" s="713" t="n"/>
    </row>
    <row r="23" ht="15.75" customHeight="1" thickTop="1">
      <c r="B23" s="724" t="n"/>
      <c r="C23" s="940" t="n"/>
      <c r="D23" s="1504" t="n"/>
      <c r="E23" s="1504" t="n"/>
      <c r="F23" s="1504" t="n"/>
      <c r="G23" s="1504" t="n"/>
      <c r="H23" s="1504" t="n"/>
      <c r="I23" s="1504" t="n"/>
      <c r="J23" s="1506" t="n"/>
    </row>
    <row r="24">
      <c r="B24" s="724" t="n"/>
      <c r="C24" s="940" t="n"/>
      <c r="D24" s="1504" t="n"/>
      <c r="E24" s="1504" t="n"/>
      <c r="F24" s="1504" t="n"/>
      <c r="G24" s="1504" t="n"/>
      <c r="H24" s="1504" t="n"/>
      <c r="I24" s="1504" t="n"/>
      <c r="J24" s="1506" t="n"/>
    </row>
    <row r="25">
      <c r="B25" s="724" t="n"/>
      <c r="C25" s="940" t="n"/>
      <c r="D25" s="1504" t="n"/>
      <c r="E25" s="1504" t="n"/>
      <c r="F25" s="1504" t="n"/>
      <c r="G25" s="1504" t="n"/>
      <c r="H25" s="1504" t="n"/>
      <c r="I25" s="1504" t="n"/>
      <c r="J25" s="1506" t="n"/>
      <c r="K25" s="799" t="n"/>
    </row>
    <row r="26">
      <c r="B26" s="736" t="n"/>
      <c r="C26" s="940" t="n"/>
      <c r="D26" s="1506" t="n"/>
      <c r="E26" s="1506" t="n"/>
      <c r="F26" s="1506" t="n"/>
      <c r="G26" s="1506" t="n"/>
      <c r="H26" s="1506" t="n"/>
      <c r="I26" s="1506" t="n"/>
      <c r="J26" s="1506" t="n"/>
      <c r="K26" s="799" t="n"/>
    </row>
    <row r="27">
      <c r="B27" s="732" t="n"/>
      <c r="C27" s="732" t="n"/>
      <c r="D27" s="941" t="n"/>
      <c r="E27" s="941" t="n"/>
      <c r="F27" s="941" t="n"/>
      <c r="G27" s="941" t="n"/>
      <c r="H27" s="941" t="n"/>
      <c r="I27" s="941" t="n"/>
      <c r="J27" s="941" t="n"/>
    </row>
    <row r="28">
      <c r="B28" s="730" t="n"/>
      <c r="C28" s="943" t="n"/>
      <c r="D28" s="1507" t="n"/>
      <c r="E28" s="1507" t="n"/>
      <c r="F28" s="1507" t="n"/>
      <c r="G28" s="1507" t="n"/>
      <c r="H28" s="1507" t="n"/>
      <c r="I28" s="1507" t="n"/>
      <c r="J28" s="1507" t="n"/>
      <c r="K28" s="1508">
        <f>J28-D28</f>
        <v/>
      </c>
      <c r="L28" s="1508" t="n"/>
    </row>
    <row r="29">
      <c r="B29" s="732" t="n"/>
      <c r="C29" s="732" t="n"/>
      <c r="D29" s="733" t="n"/>
      <c r="E29" s="733" t="n"/>
      <c r="F29" s="733" t="n"/>
      <c r="G29" s="733" t="n"/>
      <c r="H29" s="733" t="n"/>
      <c r="I29" s="733" t="n"/>
      <c r="J29" s="733" t="n"/>
    </row>
    <row r="30" ht="15.75" customHeight="1" thickBot="1">
      <c r="B30" s="712" t="n"/>
      <c r="C30" s="713" t="n"/>
      <c r="D30" s="713" t="n"/>
      <c r="E30" s="713" t="n"/>
      <c r="F30" s="713" t="n"/>
      <c r="G30" s="713" t="n"/>
      <c r="H30" s="713" t="n"/>
      <c r="I30" s="713" t="n"/>
      <c r="J30" s="942" t="n"/>
    </row>
    <row r="31" ht="15.75" customHeight="1" thickTop="1">
      <c r="B31" s="724" t="n"/>
      <c r="C31" s="940" t="n"/>
      <c r="D31" s="1504" t="n"/>
      <c r="E31" s="1504" t="n"/>
      <c r="F31" s="1504" t="n"/>
      <c r="G31" s="1504" t="n"/>
      <c r="H31" s="1504" t="n"/>
      <c r="I31" s="1504" t="n"/>
      <c r="J31" s="1506" t="n"/>
    </row>
    <row r="32">
      <c r="B32" s="720" t="n"/>
      <c r="C32" s="940" t="n"/>
      <c r="D32" s="1506" t="n"/>
      <c r="E32" s="1506" t="n"/>
      <c r="F32" s="1506" t="n"/>
      <c r="G32" s="1506" t="n"/>
      <c r="H32" s="1506" t="n"/>
      <c r="I32" s="1506" t="n"/>
      <c r="J32" s="1506" t="n"/>
    </row>
    <row r="33">
      <c r="B33" s="732" t="n"/>
      <c r="C33" s="732" t="n"/>
      <c r="D33" s="733" t="n"/>
      <c r="E33" s="733" t="n"/>
      <c r="F33" s="733" t="n"/>
      <c r="G33" s="733" t="n"/>
      <c r="H33" s="733" t="n"/>
      <c r="I33" s="733" t="n"/>
      <c r="J33" s="733" t="n"/>
    </row>
    <row r="34" ht="15.75" customHeight="1" thickBot="1">
      <c r="B34" s="712" t="n"/>
      <c r="C34" s="713" t="n"/>
      <c r="D34" s="713" t="n"/>
      <c r="E34" s="713" t="n"/>
      <c r="F34" s="713" t="n"/>
      <c r="G34" s="713" t="n"/>
      <c r="H34" s="713" t="n"/>
      <c r="I34" s="713" t="n"/>
      <c r="J34" s="713" t="n"/>
    </row>
    <row r="35" ht="15.75" customHeight="1" thickTop="1">
      <c r="B35" s="724" t="n"/>
      <c r="C35" s="713" t="n"/>
      <c r="D35" s="1504" t="n"/>
      <c r="E35" s="1505" t="n"/>
      <c r="F35" s="1504" t="n"/>
      <c r="G35" s="1504" t="n"/>
      <c r="H35" s="1504" t="n"/>
      <c r="I35" s="1504" t="n"/>
      <c r="J35" s="1506" t="n"/>
    </row>
    <row r="36">
      <c r="B36" s="724" t="n"/>
      <c r="C36" s="713" t="n"/>
      <c r="D36" s="1504" t="n"/>
      <c r="E36" s="1504" t="n"/>
      <c r="F36" s="1504" t="n"/>
      <c r="G36" s="1504" t="n"/>
      <c r="H36" s="1504" t="n"/>
      <c r="I36" s="1504" t="n"/>
      <c r="J36" s="1506" t="n"/>
    </row>
    <row r="37">
      <c r="B37" s="720" t="n"/>
      <c r="C37" s="940" t="n"/>
      <c r="D37" s="1506" t="n"/>
      <c r="E37" s="1506" t="n"/>
      <c r="F37" s="1506" t="n"/>
      <c r="G37" s="1506" t="n"/>
      <c r="H37" s="1506" t="n"/>
      <c r="I37" s="1506" t="n"/>
      <c r="J37" s="1506" t="n"/>
    </row>
    <row r="38">
      <c r="B38" s="732" t="n"/>
      <c r="C38" s="732" t="n"/>
      <c r="D38" s="941" t="n"/>
      <c r="E38" s="941" t="n"/>
      <c r="F38" s="941" t="n"/>
      <c r="G38" s="941" t="n"/>
      <c r="H38" s="941" t="n"/>
      <c r="I38" s="941" t="n"/>
      <c r="J38" s="941" t="n"/>
    </row>
    <row r="39">
      <c r="B39" s="730" t="n"/>
      <c r="C39" s="943" t="n"/>
      <c r="D39" s="1507" t="n"/>
      <c r="E39" s="1507" t="n"/>
      <c r="F39" s="1507" t="n"/>
      <c r="G39" s="1507" t="n"/>
      <c r="H39" s="1507" t="n"/>
      <c r="I39" s="1507" t="n"/>
      <c r="J39" s="1507" t="n"/>
    </row>
    <row r="40">
      <c r="B40" s="732" t="n"/>
      <c r="C40" s="732" t="n"/>
      <c r="D40" s="941" t="n"/>
      <c r="E40" s="941" t="n"/>
      <c r="F40" s="941" t="n"/>
      <c r="G40" s="941" t="n"/>
      <c r="H40" s="941" t="n"/>
      <c r="I40" s="941" t="n"/>
      <c r="J40" s="941" t="n"/>
    </row>
    <row r="41" ht="15.75" customHeight="1" thickBot="1">
      <c r="B41" s="712" t="n"/>
      <c r="C41" s="713" t="n"/>
      <c r="D41" s="713" t="n"/>
      <c r="E41" s="713" t="n"/>
      <c r="F41" s="713" t="n"/>
      <c r="G41" s="713" t="n"/>
      <c r="H41" s="713" t="n"/>
      <c r="I41" s="713" t="n"/>
      <c r="J41" s="713" t="n"/>
    </row>
    <row r="42" ht="15.75" customHeight="1" thickTop="1">
      <c r="B42" s="724" t="n"/>
      <c r="C42" s="713" t="n"/>
      <c r="D42" s="1504" t="n"/>
      <c r="E42" s="1504" t="n"/>
      <c r="F42" s="1504" t="n"/>
      <c r="G42" s="1504" t="n"/>
      <c r="H42" s="1504" t="n"/>
      <c r="I42" s="1504" t="n"/>
      <c r="J42" s="1506" t="n"/>
    </row>
    <row r="43">
      <c r="B43" s="724" t="n"/>
      <c r="C43" s="713" t="n"/>
      <c r="D43" s="1504" t="n"/>
      <c r="E43" s="1504" t="n"/>
      <c r="F43" s="1504" t="n"/>
      <c r="G43" s="1504" t="n"/>
      <c r="H43" s="1504" t="n"/>
      <c r="I43" s="1504" t="n"/>
      <c r="J43" s="1506" t="n"/>
    </row>
    <row r="44">
      <c r="B44" s="724" t="n"/>
      <c r="C44" s="713" t="n"/>
      <c r="D44" s="1504" t="n"/>
      <c r="E44" s="1504" t="n"/>
      <c r="F44" s="1504" t="n"/>
      <c r="G44" s="1504" t="n"/>
      <c r="H44" s="1504" t="n"/>
      <c r="I44" s="1504" t="n"/>
      <c r="J44" s="1506" t="n"/>
    </row>
    <row r="45">
      <c r="B45" s="720" t="n"/>
      <c r="C45" s="940" t="n"/>
      <c r="D45" s="1506" t="n"/>
      <c r="E45" s="1506" t="n"/>
      <c r="F45" s="1506" t="n"/>
      <c r="G45" s="1506" t="n"/>
      <c r="H45" s="1506" t="n"/>
      <c r="I45" s="1506" t="n"/>
      <c r="J45" s="1506" t="n"/>
    </row>
    <row r="46">
      <c r="B46" s="732" t="n"/>
      <c r="C46" s="732" t="n"/>
      <c r="D46" s="941" t="n"/>
      <c r="E46" s="941" t="n"/>
      <c r="F46" s="941" t="n"/>
      <c r="G46" s="941" t="n"/>
      <c r="H46" s="941" t="n"/>
      <c r="I46" s="941" t="n"/>
      <c r="J46" s="941" t="n"/>
    </row>
    <row r="47">
      <c r="B47" s="730" t="n"/>
      <c r="C47" s="940" t="n"/>
      <c r="D47" s="1509" t="n"/>
      <c r="E47" s="1507" t="n"/>
      <c r="F47" s="1507" t="n"/>
      <c r="G47" s="1507" t="n"/>
      <c r="H47" s="1507" t="n"/>
      <c r="I47" s="1507" t="n"/>
      <c r="J47" s="1507" t="n"/>
    </row>
    <row r="48">
      <c r="B48" s="732" t="n"/>
      <c r="C48" s="732" t="n"/>
      <c r="D48" s="941" t="n"/>
      <c r="E48" s="941" t="n"/>
      <c r="F48" s="941" t="n"/>
      <c r="G48" s="941" t="n"/>
      <c r="H48" s="941" t="n"/>
      <c r="I48" s="941" t="n"/>
      <c r="J48" s="941" t="n"/>
    </row>
    <row r="49">
      <c r="B49" s="724" t="n"/>
      <c r="C49" s="713" t="n"/>
      <c r="D49" s="1504" t="n"/>
      <c r="E49" s="1504" t="n"/>
      <c r="F49" s="1504" t="n"/>
      <c r="G49" s="1504" t="n"/>
      <c r="H49" s="1504" t="n"/>
      <c r="I49" s="1504" t="n"/>
      <c r="J49" s="1506" t="n"/>
    </row>
    <row r="50">
      <c r="B50" s="732" t="n"/>
      <c r="C50" s="732" t="n"/>
      <c r="D50" s="941" t="n"/>
      <c r="E50" s="941" t="n"/>
      <c r="F50" s="941" t="n"/>
      <c r="G50" s="941" t="n"/>
      <c r="H50" s="944" t="n"/>
      <c r="I50" s="941" t="n"/>
      <c r="J50" s="941" t="n"/>
    </row>
    <row r="51">
      <c r="B51" s="945" t="n"/>
      <c r="C51" s="940" t="n"/>
      <c r="D51" s="1509" t="n"/>
      <c r="E51" s="1507" t="n"/>
      <c r="F51" s="1507" t="n"/>
      <c r="G51" s="1507" t="n"/>
      <c r="H51" s="1507" t="n"/>
      <c r="I51" s="1507" t="n"/>
      <c r="J51" s="1507" t="n"/>
    </row>
    <row r="52">
      <c r="B52" s="736" t="n"/>
      <c r="C52" s="940" t="n"/>
      <c r="D52" s="1510" t="n"/>
      <c r="E52" s="1510" t="n"/>
      <c r="F52" s="1510" t="n"/>
      <c r="G52" s="1510" t="n"/>
      <c r="H52" s="1510" t="n"/>
      <c r="I52" s="1510" t="n"/>
      <c r="J52" s="1510" t="n"/>
    </row>
    <row r="53">
      <c r="B53" s="724" t="n"/>
      <c r="C53" s="713" t="n"/>
      <c r="D53" s="1504" t="n"/>
      <c r="E53" s="1504" t="n"/>
      <c r="F53" s="1504" t="n"/>
      <c r="G53" s="1504" t="n"/>
      <c r="H53" s="1504" t="n"/>
      <c r="I53" s="1504" t="n"/>
      <c r="J53" s="1506" t="n"/>
    </row>
    <row r="54">
      <c r="B54" s="947" t="n"/>
      <c r="C54" s="713" t="n"/>
      <c r="D54" s="948" t="n"/>
      <c r="E54" s="948" t="n"/>
      <c r="F54" s="948" t="n"/>
      <c r="G54" s="948" t="n"/>
      <c r="H54" s="948" t="n"/>
      <c r="I54" s="1511" t="n"/>
      <c r="J54" s="1511" t="n"/>
    </row>
    <row r="55">
      <c r="B55" s="945" t="n"/>
      <c r="C55" s="713" t="n"/>
      <c r="D55" s="1509" t="n"/>
      <c r="E55" s="1507" t="n"/>
      <c r="F55" s="1507" t="n"/>
      <c r="G55" s="1507" t="n"/>
      <c r="H55" s="1507" t="n"/>
      <c r="I55" s="1507" t="n"/>
      <c r="J55" s="1507" t="n"/>
    </row>
    <row r="56"/>
    <row r="57" ht="15.75" customHeight="1" thickBot="1">
      <c r="A57" s="732" t="n"/>
      <c r="B57" s="732" t="n"/>
      <c r="C57" s="732" t="n"/>
      <c r="D57" s="1512" t="n"/>
      <c r="E57" s="1513" t="n"/>
      <c r="F57" s="1513" t="n"/>
      <c r="G57" s="1513" t="n"/>
      <c r="H57" s="1513" t="n"/>
      <c r="I57" s="1514" t="n"/>
      <c r="J57" s="1514" t="n"/>
    </row>
    <row r="58" ht="15.75" customHeight="1" thickTop="1">
      <c r="D58" s="950" t="n"/>
      <c r="E58" s="950" t="n"/>
      <c r="F58" s="950" t="n"/>
      <c r="G58" s="950" t="n"/>
      <c r="H58" s="950" t="n"/>
      <c r="I58" s="950" t="n"/>
      <c r="J58" s="950" t="n"/>
    </row>
    <row r="59" ht="15.75" customHeight="1" thickBot="1">
      <c r="B59" s="1508" t="n"/>
      <c r="D59" s="1515" t="n"/>
      <c r="E59" s="1515" t="n"/>
      <c r="F59" s="1515" t="n"/>
      <c r="G59" s="1515" t="n"/>
      <c r="H59" s="1515" t="n"/>
      <c r="I59" s="1516" t="n"/>
    </row>
    <row r="60" ht="15.75" customHeight="1" thickTop="1">
      <c r="D60" s="950" t="n"/>
      <c r="E60" s="950" t="n"/>
      <c r="F60" s="1030" t="n"/>
      <c r="H60" s="1030" t="n"/>
      <c r="I60" s="1030" t="n"/>
      <c r="J60" s="1508" t="n"/>
    </row>
    <row r="61">
      <c r="D61" s="950" t="n"/>
      <c r="E61" s="950" t="n"/>
      <c r="F61" s="950" t="n"/>
      <c r="G61" s="950" t="n"/>
      <c r="H61" s="950" t="n"/>
      <c r="I61" s="950" t="n"/>
    </row>
    <row r="62">
      <c r="D62" s="1517" t="n"/>
      <c r="E62" s="1517" t="n"/>
      <c r="F62" s="1517" t="n"/>
      <c r="G62" s="1517" t="n"/>
      <c r="H62" s="1517" t="n"/>
      <c r="I62" s="1517" t="n"/>
    </row>
  </sheetData>
  <mergeCells count="3">
    <mergeCell ref="D5:J5"/>
    <mergeCell ref="F60:G60"/>
    <mergeCell ref="C2:D2"/>
  </mergeCells>
  <pageMargins left="0.7" right="0.7" top="0.75" bottom="0.75" header="0.3" footer="0.3"/>
  <pageSetup orientation="portrait" paperSize="9" scale="6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40"/>
  <sheetViews>
    <sheetView showGridLines="0" workbookViewId="0">
      <selection activeCell="Q8" sqref="Q8"/>
    </sheetView>
  </sheetViews>
  <sheetFormatPr baseColWidth="8" defaultRowHeight="15"/>
  <cols>
    <col width="8.85546875" customWidth="1" style="750" min="1" max="1"/>
    <col width="25.140625" bestFit="1" customWidth="1" style="750" min="2" max="2"/>
    <col width="11.85546875" bestFit="1" customWidth="1" style="955" min="3" max="3"/>
    <col width="3.42578125" customWidth="1" style="955" min="4" max="4"/>
    <col width="14.42578125" customWidth="1" style="1518" min="5" max="6"/>
    <col width="3.42578125" customWidth="1" style="750" min="7" max="7"/>
    <col width="14.42578125" customWidth="1" style="1518" min="8" max="9"/>
    <col width="3.42578125" customWidth="1" style="750" min="10" max="10"/>
    <col width="14.42578125" customWidth="1" style="1518" min="11" max="12"/>
    <col width="3.42578125" customWidth="1" style="750" min="13" max="13"/>
    <col width="14.42578125" customWidth="1" style="1518" min="14" max="15"/>
    <col width="3.42578125" customWidth="1" style="750" min="16" max="16"/>
    <col width="14.42578125" customWidth="1" style="1518" min="17" max="18"/>
    <col width="10.28515625" bestFit="1" customWidth="1" min="20" max="20"/>
  </cols>
  <sheetData>
    <row r="1">
      <c r="B1" s="747" t="n"/>
      <c r="C1" s="953" t="n"/>
      <c r="D1" s="953" t="n"/>
      <c r="E1" s="1519" t="n"/>
      <c r="F1" s="1520" t="n"/>
      <c r="G1" s="954" t="n"/>
      <c r="H1" s="1519" t="n"/>
      <c r="I1" s="1520" t="n"/>
      <c r="J1" s="954" t="n"/>
      <c r="K1" s="1519" t="n"/>
      <c r="L1" s="1520" t="n"/>
      <c r="M1" s="954" t="n"/>
      <c r="N1" s="1519" t="n"/>
      <c r="O1" s="1520" t="n"/>
      <c r="P1" s="954" t="n"/>
      <c r="Q1" s="1521" t="n"/>
      <c r="R1" s="1522" t="n"/>
    </row>
    <row r="2">
      <c r="B2" s="749" t="n"/>
      <c r="E2" s="1523" t="n"/>
      <c r="F2" s="1523" t="n"/>
      <c r="G2" s="957" t="n"/>
      <c r="H2" s="1523" t="n"/>
      <c r="I2" s="1523" t="n"/>
      <c r="J2" s="957" t="n"/>
      <c r="K2" s="1523" t="n"/>
      <c r="L2" s="1523" t="n"/>
      <c r="M2" s="957" t="n"/>
      <c r="N2" s="1523" t="n"/>
      <c r="O2" s="1523" t="n"/>
      <c r="P2" s="957" t="n"/>
      <c r="Q2" s="1524" t="n"/>
      <c r="R2" s="1525" t="n"/>
    </row>
    <row r="3">
      <c r="B3" s="749" t="n"/>
      <c r="E3" s="1523" t="n"/>
      <c r="F3" s="1523" t="n"/>
      <c r="G3" s="957" t="n"/>
      <c r="H3" s="1523" t="n"/>
      <c r="I3" s="1523" t="n"/>
      <c r="J3" s="957" t="n"/>
      <c r="K3" s="1523" t="n"/>
      <c r="L3" s="1523" t="n"/>
      <c r="M3" s="957" t="n"/>
      <c r="N3" s="1523" t="n"/>
      <c r="O3" s="1523" t="n"/>
      <c r="P3" s="957" t="n"/>
      <c r="Q3" s="1524" t="n"/>
      <c r="R3" s="1525" t="n"/>
    </row>
    <row r="4">
      <c r="B4" s="749" t="n"/>
      <c r="E4" s="1523" t="n"/>
      <c r="F4" s="1523" t="n"/>
      <c r="G4" s="957" t="n"/>
      <c r="H4" s="1523" t="n"/>
      <c r="I4" s="1523" t="n"/>
      <c r="J4" s="957" t="n"/>
      <c r="K4" s="1523" t="n"/>
      <c r="L4" s="1523" t="n"/>
      <c r="M4" s="957" t="n"/>
      <c r="N4" s="1523" t="n"/>
      <c r="O4" s="1523" t="n"/>
      <c r="P4" s="957" t="n"/>
      <c r="Q4" s="1524" t="n"/>
      <c r="R4" s="1525" t="n"/>
    </row>
    <row r="5">
      <c r="B5" s="749" t="n"/>
      <c r="Q5" s="1526" t="n"/>
      <c r="R5" s="1527" t="n"/>
    </row>
    <row r="6">
      <c r="A6" s="957" t="n"/>
      <c r="B6" s="963" t="n"/>
      <c r="C6" s="964" t="n"/>
      <c r="D6" s="964" t="n"/>
      <c r="E6" s="1528" t="n"/>
      <c r="F6" s="1528" t="n"/>
      <c r="G6" s="966" t="n"/>
      <c r="H6" s="1528" t="n"/>
      <c r="I6" s="1528" t="n"/>
      <c r="J6" s="966" t="n"/>
      <c r="K6" s="1528" t="n"/>
      <c r="L6" s="1528" t="n"/>
      <c r="M6" s="966" t="n"/>
      <c r="N6" s="1528" t="n"/>
      <c r="O6" s="1528" t="n"/>
      <c r="P6" s="966" t="n"/>
      <c r="Q6" s="1529" t="n"/>
      <c r="R6" s="1530" t="n"/>
    </row>
    <row r="7">
      <c r="B7" s="749" t="n"/>
      <c r="Q7" s="1526" t="n"/>
      <c r="R7" s="1527" t="n"/>
    </row>
    <row r="8">
      <c r="B8" s="749" t="n"/>
      <c r="E8" s="1531" t="n"/>
      <c r="H8" s="1531" t="n"/>
      <c r="K8" s="1531" t="n"/>
      <c r="N8" s="1531" t="n"/>
      <c r="P8" s="751" t="n"/>
      <c r="Q8" s="1531" t="n"/>
      <c r="R8" s="1527" t="n"/>
    </row>
    <row r="9">
      <c r="B9" s="749" t="n"/>
      <c r="H9" s="1531" t="n"/>
      <c r="K9" s="1531" t="n"/>
      <c r="N9" s="1531" t="n"/>
      <c r="P9" s="751" t="n"/>
      <c r="Q9" s="1531" t="n"/>
      <c r="R9" s="1527" t="n"/>
    </row>
    <row r="10">
      <c r="A10" s="750" t="n"/>
      <c r="B10" s="749" t="n"/>
      <c r="E10" s="1531" t="n"/>
      <c r="H10" s="1531" t="n"/>
      <c r="K10" s="1531" t="n"/>
      <c r="N10" s="1531" t="n"/>
      <c r="P10" s="751" t="n"/>
      <c r="Q10" s="1531" t="n"/>
      <c r="R10" s="1527" t="n"/>
      <c r="S10" s="1508">
        <f>Q10-E10</f>
        <v/>
      </c>
    </row>
    <row r="11">
      <c r="A11" s="750" t="n"/>
      <c r="B11" s="749" t="n"/>
      <c r="E11" s="1531" t="n"/>
      <c r="H11" s="1531" t="n"/>
      <c r="K11" s="1531" t="n"/>
      <c r="N11" s="1531" t="n"/>
      <c r="P11" s="751" t="n"/>
      <c r="Q11" s="1531" t="n"/>
      <c r="R11" s="1527" t="n"/>
      <c r="S11" s="1508">
        <f>Q11-E11</f>
        <v/>
      </c>
    </row>
    <row r="12">
      <c r="A12" s="750" t="n"/>
      <c r="B12" s="749" t="n"/>
      <c r="E12" s="1531" t="n"/>
      <c r="H12" s="1531" t="n"/>
      <c r="K12" s="1531" t="n"/>
      <c r="N12" s="1531" t="n"/>
      <c r="P12" s="751" t="n"/>
      <c r="Q12" s="1531" t="n"/>
      <c r="R12" s="1527" t="n"/>
      <c r="S12" s="1508">
        <f>Q12-E12</f>
        <v/>
      </c>
    </row>
    <row r="13">
      <c r="A13" s="750" t="n"/>
      <c r="B13" s="749" t="n"/>
      <c r="E13" s="1531" t="n"/>
      <c r="H13" s="1531" t="n"/>
      <c r="K13" s="1531" t="n"/>
      <c r="N13" s="1531" t="n"/>
      <c r="P13" s="751" t="n"/>
      <c r="Q13" s="1531" t="n"/>
      <c r="R13" s="1527" t="n"/>
      <c r="S13" s="1508">
        <f>Q13-E13</f>
        <v/>
      </c>
    </row>
    <row r="14">
      <c r="A14" s="750" t="n"/>
      <c r="B14" s="749" t="n"/>
      <c r="E14" s="1531" t="n"/>
      <c r="H14" s="1531" t="n"/>
      <c r="K14" s="1531" t="n"/>
      <c r="N14" s="1531" t="n"/>
      <c r="P14" s="751" t="n"/>
      <c r="Q14" s="1531" t="n"/>
      <c r="R14" s="1527" t="n"/>
      <c r="S14" s="1508">
        <f>Q14-E14</f>
        <v/>
      </c>
    </row>
    <row r="15">
      <c r="A15" s="750" t="n"/>
      <c r="B15" s="749" t="n"/>
      <c r="E15" s="1531" t="n"/>
      <c r="H15" s="1531" t="n"/>
      <c r="K15" s="1531" t="n"/>
      <c r="N15" s="1531" t="n"/>
      <c r="P15" s="751" t="n"/>
      <c r="Q15" s="1531" t="n"/>
      <c r="R15" s="1527" t="n"/>
      <c r="S15" s="1508">
        <f>Q15-E15</f>
        <v/>
      </c>
    </row>
    <row r="16">
      <c r="A16" s="750" t="n"/>
      <c r="B16" s="749" t="n"/>
      <c r="E16" s="1531" t="n"/>
      <c r="H16" s="1531" t="n"/>
      <c r="K16" s="1531" t="n"/>
      <c r="N16" s="1531" t="n"/>
      <c r="P16" s="751" t="n"/>
      <c r="Q16" s="1531" t="n"/>
      <c r="R16" s="1527" t="n"/>
      <c r="S16" s="1508">
        <f>Q16-E16</f>
        <v/>
      </c>
    </row>
    <row r="17">
      <c r="A17" s="750" t="n"/>
      <c r="B17" s="749" t="n"/>
      <c r="E17" s="1531" t="n"/>
      <c r="H17" s="1531" t="n"/>
      <c r="K17" s="1531" t="n"/>
      <c r="N17" s="1531" t="n"/>
      <c r="P17" s="751" t="n"/>
      <c r="Q17" s="1531" t="n"/>
      <c r="R17" s="1527" t="n"/>
      <c r="S17" s="1508">
        <f>Q17-E17</f>
        <v/>
      </c>
    </row>
    <row r="18">
      <c r="A18" s="750" t="n"/>
      <c r="B18" s="749" t="n"/>
      <c r="E18" s="1531" t="n"/>
      <c r="H18" s="1531" t="n"/>
      <c r="K18" s="1531" t="n"/>
      <c r="N18" s="1531" t="n"/>
      <c r="P18" s="751" t="n"/>
      <c r="Q18" s="1532" t="n"/>
      <c r="R18" s="1527" t="n"/>
      <c r="S18" s="1508">
        <f>Q18-E18</f>
        <v/>
      </c>
    </row>
    <row r="19">
      <c r="A19" s="957" t="n"/>
      <c r="B19" s="970" t="n"/>
      <c r="C19" s="971" t="n"/>
      <c r="D19" s="971" t="n"/>
      <c r="E19" s="1533" t="n"/>
      <c r="F19" s="1534" t="n"/>
      <c r="G19" s="974" t="n"/>
      <c r="H19" s="1533" t="n"/>
      <c r="I19" s="1534" t="n"/>
      <c r="J19" s="974" t="n"/>
      <c r="K19" s="1533" t="n"/>
      <c r="L19" s="1534" t="n"/>
      <c r="M19" s="974" t="n"/>
      <c r="N19" s="1533" t="n"/>
      <c r="O19" s="1534" t="n"/>
      <c r="P19" s="974" t="n"/>
      <c r="Q19" s="1535" t="n"/>
      <c r="R19" s="1536" t="n"/>
      <c r="T19" s="1041">
        <f>SUMIFS(Q10:Q18,T10:T18,1)</f>
        <v/>
      </c>
      <c r="U19" s="1041">
        <f>SUMIFS(S10:S18,U10:U18,1)</f>
        <v/>
      </c>
    </row>
    <row r="20">
      <c r="B20" s="749" t="n"/>
      <c r="Q20" s="1526" t="n"/>
      <c r="R20" s="1527" t="n"/>
    </row>
    <row r="21">
      <c r="B21" s="749" t="n"/>
      <c r="Q21" s="1526" t="n"/>
      <c r="R21" s="1527" t="n"/>
    </row>
    <row r="22">
      <c r="B22" s="749" t="n"/>
      <c r="E22" s="1531" t="n"/>
      <c r="H22" s="1531" t="n"/>
      <c r="K22" s="1531" t="n"/>
      <c r="N22" s="1531" t="n"/>
      <c r="P22" s="751" t="n"/>
      <c r="Q22" s="1531" t="n"/>
      <c r="R22" s="1527" t="n"/>
    </row>
    <row r="23">
      <c r="B23" s="749" t="n"/>
      <c r="E23" s="1531" t="n"/>
      <c r="H23" s="1531" t="n"/>
      <c r="K23" s="1531" t="n"/>
      <c r="N23" s="1531" t="n"/>
      <c r="P23" s="751" t="n"/>
      <c r="Q23" s="1531" t="n"/>
      <c r="R23" s="1527" t="n"/>
    </row>
    <row r="24">
      <c r="B24" s="749" t="n"/>
      <c r="E24" s="1531" t="n"/>
      <c r="H24" s="1531" t="n"/>
      <c r="K24" s="1531" t="n"/>
      <c r="N24" s="1531" t="n"/>
      <c r="P24" s="751" t="n"/>
      <c r="Q24" s="1531" t="n"/>
      <c r="R24" s="1527" t="n"/>
    </row>
    <row r="25">
      <c r="B25" s="749" t="n"/>
      <c r="E25" s="1531" t="n"/>
      <c r="H25" s="1531" t="n"/>
      <c r="K25" s="1531" t="n"/>
      <c r="N25" s="1531" t="n"/>
      <c r="P25" s="751" t="n"/>
      <c r="Q25" s="1532" t="n"/>
      <c r="R25" s="1527" t="n"/>
    </row>
    <row r="26">
      <c r="A26" s="957" t="n"/>
      <c r="B26" s="970" t="n"/>
      <c r="C26" s="971" t="n"/>
      <c r="D26" s="971" t="n"/>
      <c r="E26" s="1533" t="n"/>
      <c r="F26" s="1534" t="n"/>
      <c r="G26" s="974" t="n"/>
      <c r="H26" s="1533" t="n"/>
      <c r="I26" s="1534" t="n"/>
      <c r="J26" s="974" t="n"/>
      <c r="K26" s="1533" t="n"/>
      <c r="L26" s="1534" t="n"/>
      <c r="M26" s="974" t="n"/>
      <c r="N26" s="1533" t="n"/>
      <c r="O26" s="1534" t="n"/>
      <c r="P26" s="974" t="n"/>
      <c r="Q26" s="1535" t="n"/>
      <c r="R26" s="1536" t="n"/>
    </row>
    <row r="27">
      <c r="B27" s="749" t="n"/>
      <c r="Q27" s="1526" t="n"/>
      <c r="R27" s="1527" t="n"/>
    </row>
    <row r="28">
      <c r="B28" s="749" t="n"/>
      <c r="E28" s="1531" t="n"/>
      <c r="H28" s="1531" t="n"/>
      <c r="K28" s="1531" t="n"/>
      <c r="N28" s="1531" t="n"/>
      <c r="P28" s="751" t="n"/>
      <c r="Q28" s="1531" t="n"/>
      <c r="R28" s="1527" t="n"/>
    </row>
    <row r="29">
      <c r="B29" s="749" t="n"/>
      <c r="E29" s="1531" t="n"/>
      <c r="H29" s="1531" t="n"/>
      <c r="K29" s="1531" t="n"/>
      <c r="N29" s="1531" t="n"/>
      <c r="P29" s="751" t="n"/>
      <c r="Q29" s="1531" t="n"/>
      <c r="R29" s="1527" t="n"/>
    </row>
    <row r="30">
      <c r="B30" s="749" t="n"/>
      <c r="E30" s="1531" t="n"/>
      <c r="H30" s="1531" t="n"/>
      <c r="K30" s="1531" t="n"/>
      <c r="N30" s="1531" t="n"/>
      <c r="P30" s="751" t="n"/>
      <c r="Q30" s="1531" t="n"/>
      <c r="R30" s="1527" t="n"/>
    </row>
    <row r="31">
      <c r="A31" s="957" t="n"/>
      <c r="B31" s="970" t="n"/>
      <c r="C31" s="971" t="n"/>
      <c r="D31" s="971" t="n"/>
      <c r="E31" s="1533" t="n"/>
      <c r="F31" s="1534" t="n"/>
      <c r="G31" s="974" t="n"/>
      <c r="H31" s="1533" t="n"/>
      <c r="I31" s="1534" t="n"/>
      <c r="J31" s="974" t="n"/>
      <c r="K31" s="1533" t="n"/>
      <c r="L31" s="1534" t="n"/>
      <c r="M31" s="974" t="n"/>
      <c r="N31" s="1533" t="n"/>
      <c r="O31" s="1534" t="n"/>
      <c r="P31" s="974" t="n"/>
      <c r="Q31" s="1535" t="n"/>
      <c r="R31" s="1536" t="n"/>
    </row>
    <row r="32">
      <c r="B32" s="749" t="n"/>
      <c r="Q32" s="1526" t="n"/>
      <c r="R32" s="1527" t="n"/>
    </row>
    <row r="33" ht="15.75" customHeight="1" thickBot="1">
      <c r="A33" s="957" t="n"/>
      <c r="B33" s="963" t="n"/>
      <c r="C33" s="964" t="n"/>
      <c r="D33" s="964" t="n"/>
      <c r="E33" s="1528" t="n"/>
      <c r="F33" s="1537" t="n"/>
      <c r="G33" s="966" t="n"/>
      <c r="H33" s="1528" t="n"/>
      <c r="I33" s="1537" t="n"/>
      <c r="J33" s="966" t="n"/>
      <c r="K33" s="1528" t="n"/>
      <c r="L33" s="1537" t="n"/>
      <c r="M33" s="966" t="n"/>
      <c r="N33" s="1528" t="n"/>
      <c r="O33" s="1537" t="n"/>
      <c r="P33" s="966" t="n"/>
      <c r="Q33" s="1529" t="n"/>
      <c r="R33" s="1538" t="n"/>
    </row>
    <row r="34" ht="15.75" customHeight="1" thickTop="1">
      <c r="A34" s="957" t="n"/>
      <c r="B34" s="979" t="n"/>
      <c r="C34" s="980" t="n"/>
      <c r="D34" s="980" t="n"/>
      <c r="E34" s="1539" t="n"/>
      <c r="F34" s="1539" t="n"/>
      <c r="G34" s="957" t="n"/>
      <c r="H34" s="1539" t="n"/>
      <c r="I34" s="1539" t="n"/>
      <c r="J34" s="957" t="n"/>
      <c r="K34" s="1539" t="n"/>
      <c r="L34" s="1539" t="n"/>
      <c r="M34" s="957" t="n"/>
      <c r="N34" s="1539" t="n"/>
      <c r="O34" s="1539" t="n"/>
      <c r="P34" s="957" t="n"/>
      <c r="Q34" s="1540" t="n"/>
      <c r="R34" s="1541" t="n"/>
    </row>
    <row r="35">
      <c r="A35" s="957" t="n"/>
      <c r="B35" s="963" t="n"/>
      <c r="C35" s="964" t="n"/>
      <c r="D35" s="964" t="n"/>
      <c r="E35" s="1528" t="n"/>
      <c r="F35" s="1542" t="n"/>
      <c r="G35" s="966" t="n"/>
      <c r="H35" s="1528" t="n"/>
      <c r="I35" s="1542" t="n"/>
      <c r="J35" s="966" t="n"/>
      <c r="K35" s="1528" t="n"/>
      <c r="L35" s="1542" t="n"/>
      <c r="M35" s="966" t="n"/>
      <c r="N35" s="1528" t="n"/>
      <c r="O35" s="1542" t="n"/>
      <c r="P35" s="966" t="n"/>
      <c r="Q35" s="1529" t="n"/>
      <c r="R35" s="1543" t="n"/>
    </row>
    <row r="36" ht="15.75" customHeight="1" thickBot="1">
      <c r="B36" s="986" t="n"/>
      <c r="C36" s="987" t="n"/>
      <c r="D36" s="987" t="n"/>
      <c r="E36" s="1544" t="n"/>
      <c r="F36" s="1544" t="n"/>
      <c r="G36" s="754" t="n"/>
      <c r="H36" s="1544" t="n"/>
      <c r="I36" s="1544" t="n"/>
      <c r="J36" s="754" t="n"/>
      <c r="K36" s="1544" t="n"/>
      <c r="L36" s="1544" t="n"/>
      <c r="M36" s="754" t="n"/>
      <c r="N36" s="1544" t="n"/>
      <c r="O36" s="1544" t="n"/>
      <c r="P36" s="754" t="n"/>
      <c r="Q36" s="1545" t="n"/>
      <c r="R36" s="1546" t="n"/>
    </row>
    <row r="37"/>
    <row r="38">
      <c r="B38" s="991" t="n"/>
      <c r="C38" s="992" t="n"/>
      <c r="D38" s="992" t="n"/>
      <c r="E38" s="1547" t="n"/>
      <c r="F38" s="1547" t="n"/>
      <c r="H38" s="1547" t="n"/>
      <c r="I38" s="1547" t="n"/>
      <c r="K38" s="1547" t="n"/>
      <c r="L38" s="1547" t="n"/>
      <c r="N38" s="1547" t="n"/>
      <c r="O38" s="1547" t="n"/>
      <c r="Q38" s="1547" t="n"/>
      <c r="R38" s="1547" t="n"/>
    </row>
    <row r="39">
      <c r="B39" s="991" t="n"/>
      <c r="C39" s="992" t="n"/>
      <c r="D39" s="992" t="n"/>
      <c r="E39" s="1547" t="n"/>
      <c r="F39" s="1548" t="n"/>
      <c r="H39" s="1548" t="n"/>
      <c r="I39" s="1548" t="n"/>
      <c r="J39" s="1548" t="n"/>
      <c r="K39" s="1548" t="n"/>
      <c r="L39" s="1548" t="n"/>
      <c r="M39" s="1548" t="n"/>
      <c r="N39" s="1548" t="n"/>
      <c r="O39" s="1548" t="n"/>
      <c r="P39" s="1548" t="n"/>
      <c r="Q39" s="1548" t="n"/>
      <c r="R39" s="1548" t="n"/>
    </row>
    <row r="40">
      <c r="H40" s="1548" t="n"/>
      <c r="I40" s="1548" t="n"/>
      <c r="J40" s="1548" t="n"/>
      <c r="K40" s="1548" t="n"/>
      <c r="L40" s="1548" t="n"/>
      <c r="M40" s="1548" t="n"/>
      <c r="N40" s="1548" t="n"/>
      <c r="O40" s="1548" t="n"/>
      <c r="P40" s="1548" t="n"/>
      <c r="Q40" s="1548" t="n"/>
      <c r="R40" s="1548" t="n"/>
    </row>
  </sheetData>
  <mergeCells count="5">
    <mergeCell ref="Q1:R1"/>
    <mergeCell ref="E1:F1"/>
    <mergeCell ref="K1:L1"/>
    <mergeCell ref="H1:I1"/>
    <mergeCell ref="N1:O1"/>
  </mergeCells>
  <pageMargins left="0.7" right="0.7" top="0.75" bottom="0.75" header="0.3" footer="0.3"/>
  <pageSetup orientation="landscape" paperSize="9" scale="56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V141"/>
  <sheetViews>
    <sheetView workbookViewId="0">
      <selection activeCell="B28" sqref="B28"/>
    </sheetView>
  </sheetViews>
  <sheetFormatPr baseColWidth="8" defaultRowHeight="15"/>
  <cols>
    <col width="9.7109375" bestFit="1" customWidth="1" style="702" min="1" max="1"/>
    <col width="33" customWidth="1" min="2" max="2"/>
    <col hidden="1" outlineLevel="1" width="15.5703125" customWidth="1" min="3" max="3"/>
    <col hidden="1" outlineLevel="1" width="10.5703125" customWidth="1" min="4" max="5"/>
    <col hidden="1" outlineLevel="1" width="10.7109375" customWidth="1" min="6" max="15"/>
    <col collapsed="1" width="15.85546875" customWidth="1" min="16" max="16"/>
    <col hidden="1" outlineLevel="1" width="10.5703125" customWidth="1" min="17" max="18"/>
    <col hidden="1" outlineLevel="1" width="10.7109375" customWidth="1" min="19" max="27"/>
    <col hidden="1" outlineLevel="1" width="11.5703125" customWidth="1" min="28" max="28"/>
    <col collapsed="1" width="13.28515625" bestFit="1" customWidth="1" min="29" max="29"/>
    <col hidden="1" outlineLevel="1" width="10.5703125" customWidth="1" min="30" max="31"/>
    <col hidden="1" outlineLevel="1" width="10.7109375" customWidth="1" min="32" max="40"/>
    <col hidden="1" outlineLevel="1" width="11.5703125" customWidth="1" min="41" max="41"/>
    <col collapsed="1" width="13.28515625" bestFit="1" customWidth="1" min="42" max="42"/>
    <col outlineLevel="1" width="10.5703125" customWidth="1" min="43" max="44"/>
    <col outlineLevel="1" width="10.7109375" customWidth="1" min="45" max="53"/>
    <col outlineLevel="1" width="11.5703125" customWidth="1" min="54" max="54"/>
    <col width="13.28515625" bestFit="1" customWidth="1" min="55" max="55"/>
    <col hidden="1" outlineLevel="1" width="10.5703125" customWidth="1" min="56" max="57"/>
    <col hidden="1" outlineLevel="1" width="10.7109375" customWidth="1" min="58" max="66"/>
    <col hidden="1" outlineLevel="1" width="11.5703125" customWidth="1" min="67" max="67"/>
    <col collapsed="1" width="11.85546875" customWidth="1" min="68" max="68"/>
    <col hidden="1" outlineLevel="1" width="10.5703125" customWidth="1" min="69" max="70"/>
    <col hidden="1" outlineLevel="1" width="10.7109375" customWidth="1" min="71" max="79"/>
    <col hidden="1" outlineLevel="1" width="11.5703125" customWidth="1" min="80" max="80"/>
    <col collapsed="1" width="11.85546875" customWidth="1" min="81" max="81"/>
    <col hidden="1" outlineLevel="1" width="10.5703125" customWidth="1" min="82" max="83"/>
    <col hidden="1" outlineLevel="1" width="10.7109375" customWidth="1" min="84" max="92"/>
    <col hidden="1" outlineLevel="1" width="11.5703125" customWidth="1" min="93" max="93"/>
    <col collapsed="1" width="11.85546875" customWidth="1" min="94" max="94"/>
    <col hidden="1" outlineLevel="1" width="10.5703125" customWidth="1" min="95" max="96"/>
    <col hidden="1" outlineLevel="1" width="10.7109375" customWidth="1" min="97" max="105"/>
    <col hidden="1" outlineLevel="1" width="11.5703125" customWidth="1" min="106" max="106"/>
    <col collapsed="1" width="11.85546875" customWidth="1" min="107" max="107"/>
    <col hidden="1" outlineLevel="1" width="10.5703125" customWidth="1" min="108" max="109"/>
    <col hidden="1" outlineLevel="1" width="10.7109375" customWidth="1" min="110" max="118"/>
    <col hidden="1" outlineLevel="1" width="11.5703125" customWidth="1" min="119" max="119"/>
    <col collapsed="1" width="11.85546875" customWidth="1" min="120" max="120"/>
    <col width="10.140625" bestFit="1" customWidth="1" min="122" max="122"/>
    <col width="12.5703125" customWidth="1" min="126" max="126"/>
    <col width="11.140625" customWidth="1" min="127" max="127"/>
  </cols>
  <sheetData>
    <row r="1" ht="21.75" customHeight="1">
      <c r="B1" s="1034" t="n"/>
    </row>
    <row r="2" ht="15.75" customHeight="1" thickBot="1">
      <c r="C2" s="703" t="n"/>
      <c r="D2" s="703" t="n"/>
      <c r="E2" s="703" t="n"/>
      <c r="F2" s="703" t="n"/>
      <c r="G2" s="703" t="n"/>
      <c r="H2" s="703" t="n"/>
      <c r="I2" s="703" t="n"/>
      <c r="J2" s="703" t="n"/>
      <c r="K2" s="703" t="n"/>
      <c r="L2" s="703" t="n"/>
      <c r="M2" s="703" t="n"/>
      <c r="N2" s="703" t="n"/>
      <c r="O2" s="703" t="n"/>
      <c r="P2" s="703" t="n"/>
      <c r="Q2" s="703" t="n"/>
      <c r="R2" s="703" t="n"/>
      <c r="S2" s="703" t="n"/>
      <c r="T2" s="703" t="n"/>
      <c r="U2" s="703" t="n"/>
      <c r="V2" s="703" t="n"/>
      <c r="W2" s="703" t="n"/>
      <c r="X2" s="703" t="n"/>
      <c r="Y2" s="703" t="n"/>
      <c r="Z2" s="703" t="n"/>
      <c r="AA2" s="703" t="n"/>
      <c r="AB2" s="703" t="n"/>
      <c r="AC2" s="703" t="n"/>
      <c r="AD2" s="703" t="n"/>
      <c r="AE2" s="703" t="n"/>
      <c r="AF2" s="703" t="n"/>
      <c r="AG2" s="703" t="n"/>
      <c r="AH2" s="703" t="n"/>
      <c r="AI2" s="703" t="n"/>
      <c r="AJ2" s="703" t="n"/>
      <c r="AK2" s="703" t="n"/>
      <c r="AL2" s="703" t="n"/>
      <c r="AM2" s="703" t="n"/>
      <c r="AN2" s="703" t="n"/>
      <c r="AO2" s="703" t="n"/>
      <c r="AP2" s="703" t="n"/>
      <c r="AQ2" s="703" t="n"/>
      <c r="AR2" s="703" t="n"/>
      <c r="AS2" s="703" t="n"/>
      <c r="AT2" s="703" t="n"/>
      <c r="AU2" s="703" t="n"/>
      <c r="AV2" s="703" t="n"/>
      <c r="AW2" s="703" t="n"/>
      <c r="AX2" s="703" t="n"/>
      <c r="AY2" s="703" t="n"/>
      <c r="AZ2" s="703" t="n"/>
      <c r="BA2" s="703" t="n"/>
      <c r="BB2" s="703" t="n"/>
      <c r="BC2" s="703" t="n"/>
      <c r="BD2" s="703" t="n"/>
      <c r="BE2" s="703" t="n"/>
      <c r="BF2" s="703" t="n"/>
      <c r="BG2" s="703" t="n"/>
      <c r="BH2" s="703" t="n"/>
      <c r="BI2" s="703" t="n"/>
      <c r="BJ2" s="703" t="n"/>
      <c r="BK2" s="703" t="n"/>
      <c r="BL2" s="703" t="n"/>
      <c r="BM2" s="703" t="n"/>
      <c r="BN2" s="703" t="n"/>
      <c r="BO2" s="703" t="n"/>
      <c r="BP2" s="703" t="n"/>
      <c r="BQ2" s="703" t="n"/>
      <c r="BR2" s="703" t="n"/>
      <c r="BS2" s="703" t="n"/>
      <c r="BT2" s="703" t="n"/>
      <c r="BU2" s="703" t="n"/>
      <c r="BV2" s="703" t="n"/>
      <c r="BW2" s="703" t="n"/>
      <c r="BX2" s="703" t="n"/>
      <c r="BY2" s="703" t="n"/>
      <c r="BZ2" s="703" t="n"/>
      <c r="CA2" s="703" t="n"/>
      <c r="CB2" s="703" t="n"/>
      <c r="CC2" s="703" t="n"/>
      <c r="CD2" s="703" t="n"/>
      <c r="CE2" s="703" t="n"/>
      <c r="CF2" s="703" t="n"/>
      <c r="CG2" s="703" t="n"/>
      <c r="CH2" s="703" t="n"/>
      <c r="CI2" s="703" t="n"/>
      <c r="CJ2" s="703" t="n"/>
      <c r="CK2" s="703" t="n"/>
      <c r="CL2" s="703" t="n"/>
      <c r="CM2" s="703" t="n"/>
      <c r="CN2" s="703" t="n"/>
      <c r="CO2" s="703" t="n"/>
      <c r="CP2" s="703" t="n"/>
      <c r="CQ2" s="703" t="n"/>
      <c r="CR2" s="703" t="n"/>
      <c r="CS2" s="703" t="n"/>
      <c r="CT2" s="703" t="n"/>
      <c r="CU2" s="703" t="n"/>
      <c r="CV2" s="703" t="n"/>
      <c r="CW2" s="703" t="n"/>
      <c r="CX2" s="703" t="n"/>
      <c r="CY2" s="703" t="n"/>
      <c r="CZ2" s="703" t="n"/>
      <c r="DA2" s="703" t="n"/>
      <c r="DB2" s="703" t="n"/>
      <c r="DC2" s="703" t="n"/>
      <c r="DD2" s="703" t="n"/>
      <c r="DE2" s="703" t="n"/>
      <c r="DF2" s="703" t="n"/>
      <c r="DG2" s="703" t="n"/>
      <c r="DH2" s="703" t="n"/>
      <c r="DI2" s="703" t="n"/>
      <c r="DJ2" s="703" t="n"/>
      <c r="DK2" s="703" t="n"/>
      <c r="DL2" s="703" t="n"/>
      <c r="DM2" s="703" t="n"/>
      <c r="DN2" s="703" t="n"/>
      <c r="DO2" s="703" t="n"/>
      <c r="DP2" s="703" t="n"/>
    </row>
    <row r="3" hidden="1" ht="15.75" customHeight="1" thickTop="1">
      <c r="B3" s="704" t="n"/>
      <c r="C3" s="704" t="n"/>
      <c r="D3" s="705" t="n"/>
      <c r="E3" s="705">
        <f>D5+1</f>
        <v/>
      </c>
      <c r="F3" s="705">
        <f>E5+1</f>
        <v/>
      </c>
      <c r="G3" s="705">
        <f>F5+1</f>
        <v/>
      </c>
      <c r="H3" s="705">
        <f>G5+1</f>
        <v/>
      </c>
      <c r="I3" s="705">
        <f>H5+1</f>
        <v/>
      </c>
      <c r="J3" s="705">
        <f>I5+1</f>
        <v/>
      </c>
      <c r="K3" s="705">
        <f>J5+1</f>
        <v/>
      </c>
      <c r="L3" s="705">
        <f>K5+1</f>
        <v/>
      </c>
      <c r="M3" s="705">
        <f>L5+1</f>
        <v/>
      </c>
      <c r="N3" s="705">
        <f>M5+1</f>
        <v/>
      </c>
      <c r="O3" s="705">
        <f>N5+1</f>
        <v/>
      </c>
      <c r="P3" s="706" t="n"/>
      <c r="Q3" s="705" t="n"/>
      <c r="R3" s="705">
        <f>Q5+1</f>
        <v/>
      </c>
      <c r="S3" s="705">
        <f>R5+1</f>
        <v/>
      </c>
      <c r="T3" s="705">
        <f>S5+1</f>
        <v/>
      </c>
      <c r="U3" s="705">
        <f>T5+1</f>
        <v/>
      </c>
      <c r="V3" s="705">
        <f>U5+1</f>
        <v/>
      </c>
      <c r="W3" s="705">
        <f>V5+1</f>
        <v/>
      </c>
      <c r="X3" s="705">
        <f>W5+1</f>
        <v/>
      </c>
      <c r="Y3" s="705">
        <f>X5+1</f>
        <v/>
      </c>
      <c r="Z3" s="705">
        <f>Y5+1</f>
        <v/>
      </c>
      <c r="AA3" s="705">
        <f>Z5+1</f>
        <v/>
      </c>
      <c r="AB3" s="705">
        <f>AA5+1</f>
        <v/>
      </c>
      <c r="AC3" s="706" t="n"/>
      <c r="AD3" s="705" t="n"/>
      <c r="AE3" s="705">
        <f>AD5+1</f>
        <v/>
      </c>
      <c r="AF3" s="705">
        <f>AE5+1</f>
        <v/>
      </c>
      <c r="AG3" s="705">
        <f>AF5+1</f>
        <v/>
      </c>
      <c r="AH3" s="705">
        <f>AG5+1</f>
        <v/>
      </c>
      <c r="AI3" s="705">
        <f>AH5+1</f>
        <v/>
      </c>
      <c r="AJ3" s="705">
        <f>AI5+1</f>
        <v/>
      </c>
      <c r="AK3" s="705">
        <f>AJ5+1</f>
        <v/>
      </c>
      <c r="AL3" s="705">
        <f>AK5+1</f>
        <v/>
      </c>
      <c r="AM3" s="705">
        <f>AL5+1</f>
        <v/>
      </c>
      <c r="AN3" s="705">
        <f>AM5+1</f>
        <v/>
      </c>
      <c r="AO3" s="705">
        <f>AN5+1</f>
        <v/>
      </c>
      <c r="AP3" s="706" t="n"/>
      <c r="AQ3" s="705" t="n"/>
      <c r="AR3" s="705">
        <f>AQ5+1</f>
        <v/>
      </c>
      <c r="AS3" s="705">
        <f>AR5+1</f>
        <v/>
      </c>
      <c r="AT3" s="705">
        <f>AS5+1</f>
        <v/>
      </c>
      <c r="AU3" s="705">
        <f>AT5+1</f>
        <v/>
      </c>
      <c r="AV3" s="705">
        <f>AU5+1</f>
        <v/>
      </c>
      <c r="AW3" s="705">
        <f>AV5+1</f>
        <v/>
      </c>
      <c r="AX3" s="705">
        <f>AW5+1</f>
        <v/>
      </c>
      <c r="AY3" s="705">
        <f>AX5+1</f>
        <v/>
      </c>
      <c r="AZ3" s="705">
        <f>AY5+1</f>
        <v/>
      </c>
      <c r="BA3" s="705">
        <f>AZ5+1</f>
        <v/>
      </c>
      <c r="BB3" s="705">
        <f>BA5+1</f>
        <v/>
      </c>
      <c r="BC3" s="706" t="n"/>
      <c r="BD3" s="705" t="n"/>
      <c r="BE3" s="705">
        <f>BD5+1</f>
        <v/>
      </c>
      <c r="BF3" s="705">
        <f>BE5+1</f>
        <v/>
      </c>
      <c r="BG3" s="705">
        <f>BF5+1</f>
        <v/>
      </c>
      <c r="BH3" s="705">
        <f>BG5+1</f>
        <v/>
      </c>
      <c r="BI3" s="705">
        <f>BH5+1</f>
        <v/>
      </c>
      <c r="BJ3" s="705">
        <f>BI5+1</f>
        <v/>
      </c>
      <c r="BK3" s="705">
        <f>BJ5+1</f>
        <v/>
      </c>
      <c r="BL3" s="705">
        <f>BK5+1</f>
        <v/>
      </c>
      <c r="BM3" s="705">
        <f>BL5+1</f>
        <v/>
      </c>
      <c r="BN3" s="705">
        <f>BM5+1</f>
        <v/>
      </c>
      <c r="BO3" s="705">
        <f>BN5+1</f>
        <v/>
      </c>
      <c r="BP3" s="706" t="n"/>
      <c r="BQ3" s="705" t="n"/>
      <c r="BR3" s="705">
        <f>BQ5+1</f>
        <v/>
      </c>
      <c r="BS3" s="705">
        <f>BR5+1</f>
        <v/>
      </c>
      <c r="BT3" s="705">
        <f>BS5+1</f>
        <v/>
      </c>
      <c r="BU3" s="705">
        <f>BT5+1</f>
        <v/>
      </c>
      <c r="BV3" s="705">
        <f>BU5+1</f>
        <v/>
      </c>
      <c r="BW3" s="705">
        <f>BV5+1</f>
        <v/>
      </c>
      <c r="BX3" s="705">
        <f>BW5+1</f>
        <v/>
      </c>
      <c r="BY3" s="705">
        <f>BX5+1</f>
        <v/>
      </c>
      <c r="BZ3" s="705">
        <f>BY5+1</f>
        <v/>
      </c>
      <c r="CA3" s="705">
        <f>BZ5+1</f>
        <v/>
      </c>
      <c r="CB3" s="705">
        <f>CA5+1</f>
        <v/>
      </c>
      <c r="CC3" s="706" t="n"/>
      <c r="CD3" s="705" t="n"/>
      <c r="CE3" s="705">
        <f>CD5+1</f>
        <v/>
      </c>
      <c r="CF3" s="705">
        <f>CE5+1</f>
        <v/>
      </c>
      <c r="CG3" s="705">
        <f>CF5+1</f>
        <v/>
      </c>
      <c r="CH3" s="705">
        <f>CG5+1</f>
        <v/>
      </c>
      <c r="CI3" s="705">
        <f>CH5+1</f>
        <v/>
      </c>
      <c r="CJ3" s="705">
        <f>CI5+1</f>
        <v/>
      </c>
      <c r="CK3" s="705">
        <f>CJ5+1</f>
        <v/>
      </c>
      <c r="CL3" s="705">
        <f>CK5+1</f>
        <v/>
      </c>
      <c r="CM3" s="705">
        <f>CL5+1</f>
        <v/>
      </c>
      <c r="CN3" s="705">
        <f>CM5+1</f>
        <v/>
      </c>
      <c r="CO3" s="705">
        <f>CN5+1</f>
        <v/>
      </c>
      <c r="CP3" s="706" t="n"/>
      <c r="CQ3" s="705" t="n"/>
      <c r="CR3" s="705">
        <f>CQ5+1</f>
        <v/>
      </c>
      <c r="CS3" s="705">
        <f>CR5+1</f>
        <v/>
      </c>
      <c r="CT3" s="705">
        <f>CS5+1</f>
        <v/>
      </c>
      <c r="CU3" s="705">
        <f>CT5+1</f>
        <v/>
      </c>
      <c r="CV3" s="705">
        <f>CU5+1</f>
        <v/>
      </c>
      <c r="CW3" s="705">
        <f>CV5+1</f>
        <v/>
      </c>
      <c r="CX3" s="705">
        <f>CW5+1</f>
        <v/>
      </c>
      <c r="CY3" s="705">
        <f>CX5+1</f>
        <v/>
      </c>
      <c r="CZ3" s="705">
        <f>CY5+1</f>
        <v/>
      </c>
      <c r="DA3" s="705">
        <f>CZ5+1</f>
        <v/>
      </c>
      <c r="DB3" s="705">
        <f>DA5+1</f>
        <v/>
      </c>
      <c r="DC3" s="706" t="n"/>
      <c r="DD3" s="705" t="n"/>
      <c r="DE3" s="705">
        <f>DD5+1</f>
        <v/>
      </c>
      <c r="DF3" s="705">
        <f>DE5+1</f>
        <v/>
      </c>
      <c r="DG3" s="705">
        <f>DF5+1</f>
        <v/>
      </c>
      <c r="DH3" s="705">
        <f>DG5+1</f>
        <v/>
      </c>
      <c r="DI3" s="705">
        <f>DH5+1</f>
        <v/>
      </c>
      <c r="DJ3" s="705">
        <f>DI5+1</f>
        <v/>
      </c>
      <c r="DK3" s="705">
        <f>DJ5+1</f>
        <v/>
      </c>
      <c r="DL3" s="705">
        <f>DK5+1</f>
        <v/>
      </c>
      <c r="DM3" s="705">
        <f>DL5+1</f>
        <v/>
      </c>
      <c r="DN3" s="705">
        <f>DM5+1</f>
        <v/>
      </c>
      <c r="DO3" s="705">
        <f>DN5+1</f>
        <v/>
      </c>
      <c r="DP3" s="706" t="n"/>
    </row>
    <row r="4" hidden="1" ht="15.75" customHeight="1" thickTop="1">
      <c r="B4" s="704" t="n"/>
      <c r="C4" s="704" t="n"/>
      <c r="D4" s="705" t="n"/>
      <c r="E4" s="705" t="n"/>
      <c r="F4" s="705" t="n"/>
      <c r="G4" s="705" t="n"/>
      <c r="H4" s="705" t="n"/>
      <c r="I4" s="705" t="n"/>
      <c r="J4" s="705" t="n"/>
      <c r="K4" s="705" t="n"/>
      <c r="L4" s="705" t="n"/>
      <c r="M4" s="705" t="n"/>
      <c r="N4" s="705" t="n"/>
      <c r="O4" s="705" t="n"/>
      <c r="P4" s="706" t="n"/>
      <c r="Q4" s="705" t="n"/>
      <c r="R4" s="705" t="n"/>
      <c r="S4" s="705" t="n"/>
      <c r="T4" s="705" t="n"/>
      <c r="U4" s="705" t="n"/>
      <c r="V4" s="705" t="n"/>
      <c r="W4" s="705" t="n"/>
      <c r="X4" s="705" t="n"/>
      <c r="Y4" s="705" t="n"/>
      <c r="Z4" s="705" t="n"/>
      <c r="AA4" s="705" t="n"/>
      <c r="AB4" s="705" t="n"/>
      <c r="AC4" s="706" t="n"/>
      <c r="AD4" s="705" t="n"/>
      <c r="AE4" s="705" t="n"/>
      <c r="AF4" s="705" t="n"/>
      <c r="AG4" s="705" t="n"/>
      <c r="AH4" s="705" t="n"/>
      <c r="AI4" s="705" t="n"/>
      <c r="AJ4" s="705" t="n"/>
      <c r="AK4" s="705" t="n"/>
      <c r="AL4" s="705" t="n"/>
      <c r="AM4" s="705" t="n"/>
      <c r="AN4" s="705" t="n"/>
      <c r="AO4" s="705" t="n"/>
      <c r="AP4" s="706" t="n"/>
      <c r="AQ4" s="705" t="n"/>
      <c r="AR4" s="705" t="n"/>
      <c r="AS4" s="705" t="n"/>
      <c r="AT4" s="705" t="n"/>
      <c r="AU4" s="705" t="n"/>
      <c r="AV4" s="705" t="n"/>
      <c r="AW4" s="705" t="n"/>
      <c r="AX4" s="705" t="n"/>
      <c r="AY4" s="705" t="n"/>
      <c r="AZ4" s="705" t="n"/>
      <c r="BA4" s="705" t="n"/>
      <c r="BB4" s="705" t="n"/>
      <c r="BC4" s="706" t="n"/>
      <c r="BD4" s="705" t="n"/>
      <c r="BE4" s="705" t="n"/>
      <c r="BF4" s="705" t="n"/>
      <c r="BG4" s="705" t="n"/>
      <c r="BH4" s="705" t="n"/>
      <c r="BI4" s="705" t="n"/>
      <c r="BJ4" s="705" t="n"/>
      <c r="BK4" s="705" t="n"/>
      <c r="BL4" s="705" t="n"/>
      <c r="BM4" s="705" t="n"/>
      <c r="BN4" s="705" t="n"/>
      <c r="BO4" s="705" t="n"/>
      <c r="BP4" s="706" t="n"/>
      <c r="BQ4" s="705" t="n"/>
      <c r="BR4" s="705" t="n"/>
      <c r="BS4" s="705" t="n"/>
      <c r="BT4" s="705" t="n"/>
      <c r="BU4" s="705" t="n"/>
      <c r="BV4" s="705" t="n"/>
      <c r="BW4" s="705" t="n"/>
      <c r="BX4" s="705" t="n"/>
      <c r="BY4" s="705" t="n"/>
      <c r="BZ4" s="705" t="n"/>
      <c r="CA4" s="705" t="n"/>
      <c r="CB4" s="705" t="n"/>
      <c r="CC4" s="706" t="n"/>
      <c r="CD4" s="705" t="n"/>
      <c r="CE4" s="705" t="n"/>
      <c r="CF4" s="705" t="n"/>
      <c r="CG4" s="705" t="n"/>
      <c r="CH4" s="705" t="n"/>
      <c r="CI4" s="705" t="n"/>
      <c r="CJ4" s="705" t="n"/>
      <c r="CK4" s="705" t="n"/>
      <c r="CL4" s="705" t="n"/>
      <c r="CM4" s="705" t="n"/>
      <c r="CN4" s="705" t="n"/>
      <c r="CO4" s="705" t="n"/>
      <c r="CP4" s="706" t="n"/>
      <c r="CQ4" s="705" t="n"/>
      <c r="CR4" s="705" t="n"/>
      <c r="CS4" s="705" t="n"/>
      <c r="CT4" s="705" t="n"/>
      <c r="CU4" s="705" t="n"/>
      <c r="CV4" s="705" t="n"/>
      <c r="CW4" s="705" t="n"/>
      <c r="CX4" s="705" t="n"/>
      <c r="CY4" s="705" t="n"/>
      <c r="CZ4" s="705" t="n"/>
      <c r="DA4" s="705" t="n"/>
      <c r="DB4" s="705" t="n"/>
      <c r="DC4" s="706" t="n"/>
      <c r="DD4" s="705" t="n"/>
      <c r="DE4" s="705" t="n"/>
      <c r="DF4" s="705" t="n"/>
      <c r="DG4" s="705" t="n"/>
      <c r="DH4" s="705" t="n"/>
      <c r="DI4" s="705" t="n"/>
      <c r="DJ4" s="705" t="n"/>
      <c r="DK4" s="705" t="n"/>
      <c r="DL4" s="705" t="n"/>
      <c r="DM4" s="705" t="n"/>
      <c r="DN4" s="705" t="n"/>
      <c r="DO4" s="705" t="n"/>
      <c r="DP4" s="706" t="n"/>
    </row>
    <row r="5" hidden="1" ht="15.75" customHeight="1" thickTop="1">
      <c r="D5" s="707" t="n"/>
      <c r="E5" s="707" t="n"/>
      <c r="F5" s="707" t="n"/>
      <c r="G5" s="707" t="n"/>
      <c r="H5" s="707" t="n"/>
      <c r="I5" s="707" t="n"/>
      <c r="J5" s="707" t="n"/>
      <c r="K5" s="707" t="n"/>
      <c r="L5" s="707" t="n"/>
      <c r="M5" s="707" t="n"/>
      <c r="N5" s="707" t="n"/>
      <c r="O5" s="707" t="n"/>
      <c r="P5" s="708" t="n"/>
      <c r="Q5" s="707" t="n"/>
      <c r="R5" s="707" t="n"/>
      <c r="S5" s="707" t="n"/>
      <c r="T5" s="707" t="n"/>
      <c r="U5" s="707" t="n"/>
      <c r="V5" s="707" t="n"/>
      <c r="W5" s="707" t="n"/>
      <c r="X5" s="707" t="n"/>
      <c r="Y5" s="707" t="n"/>
      <c r="Z5" s="707" t="n"/>
      <c r="AA5" s="707" t="n"/>
      <c r="AB5" s="707" t="n"/>
      <c r="AC5" s="708" t="n"/>
      <c r="AD5" s="707" t="n"/>
      <c r="AE5" s="707" t="n"/>
      <c r="AF5" s="707" t="n"/>
      <c r="AG5" s="707" t="n"/>
      <c r="AH5" s="707" t="n"/>
      <c r="AI5" s="707" t="n"/>
      <c r="AJ5" s="707" t="n"/>
      <c r="AK5" s="707" t="n"/>
      <c r="AL5" s="707" t="n"/>
      <c r="AM5" s="707" t="n"/>
      <c r="AN5" s="707" t="n"/>
      <c r="AO5" s="707" t="n"/>
      <c r="AP5" s="708" t="n"/>
      <c r="AQ5" s="707" t="n"/>
      <c r="AR5" s="707" t="n"/>
      <c r="AS5" s="707" t="n"/>
      <c r="AT5" s="707" t="n"/>
      <c r="AU5" s="707" t="n"/>
      <c r="AV5" s="707" t="n"/>
      <c r="AW5" s="707" t="n"/>
      <c r="AX5" s="707" t="n"/>
      <c r="AY5" s="707" t="n"/>
      <c r="AZ5" s="707" t="n"/>
      <c r="BA5" s="707" t="n"/>
      <c r="BB5" s="707" t="n"/>
      <c r="BC5" s="708" t="n"/>
      <c r="BD5" s="707" t="n"/>
      <c r="BE5" s="707" t="n"/>
      <c r="BF5" s="707" t="n"/>
      <c r="BG5" s="707" t="n"/>
      <c r="BH5" s="707" t="n"/>
      <c r="BI5" s="707" t="n"/>
      <c r="BJ5" s="707" t="n"/>
      <c r="BK5" s="707" t="n"/>
      <c r="BL5" s="707" t="n"/>
      <c r="BM5" s="707" t="n"/>
      <c r="BN5" s="707" t="n"/>
      <c r="BO5" s="707" t="n"/>
      <c r="BP5" s="708" t="n"/>
      <c r="BQ5" s="707" t="n"/>
      <c r="BR5" s="707" t="n"/>
      <c r="BS5" s="707" t="n"/>
      <c r="BT5" s="707" t="n"/>
      <c r="BU5" s="707" t="n"/>
      <c r="BV5" s="707" t="n"/>
      <c r="BW5" s="707" t="n"/>
      <c r="BX5" s="707" t="n"/>
      <c r="BY5" s="707" t="n"/>
      <c r="BZ5" s="707" t="n"/>
      <c r="CA5" s="707" t="n"/>
      <c r="CB5" s="707" t="n"/>
      <c r="CC5" s="708" t="n"/>
      <c r="CD5" s="707" t="n"/>
      <c r="CE5" s="707" t="n"/>
      <c r="CF5" s="707" t="n"/>
      <c r="CG5" s="707" t="n"/>
      <c r="CH5" s="707" t="n"/>
      <c r="CI5" s="707" t="n"/>
      <c r="CJ5" s="707" t="n"/>
      <c r="CK5" s="707" t="n"/>
      <c r="CL5" s="707" t="n"/>
      <c r="CM5" s="707" t="n"/>
      <c r="CN5" s="707" t="n"/>
      <c r="CO5" s="707" t="n"/>
      <c r="CP5" s="708" t="n"/>
      <c r="CQ5" s="707" t="n"/>
      <c r="CR5" s="707" t="n"/>
      <c r="CS5" s="707" t="n"/>
      <c r="CT5" s="707" t="n"/>
      <c r="CU5" s="707" t="n"/>
      <c r="CV5" s="707" t="n"/>
      <c r="CW5" s="707" t="n"/>
      <c r="CX5" s="707" t="n"/>
      <c r="CY5" s="707" t="n"/>
      <c r="CZ5" s="707" t="n"/>
      <c r="DA5" s="707" t="n"/>
      <c r="DB5" s="707" t="n"/>
      <c r="DC5" s="708" t="n"/>
      <c r="DD5" s="707" t="n"/>
      <c r="DE5" s="707" t="n"/>
      <c r="DF5" s="707" t="n"/>
      <c r="DG5" s="707" t="n"/>
      <c r="DH5" s="707" t="n"/>
      <c r="DI5" s="707" t="n"/>
      <c r="DJ5" s="707" t="n"/>
      <c r="DK5" s="707" t="n"/>
      <c r="DL5" s="707" t="n"/>
      <c r="DM5" s="707" t="n"/>
      <c r="DN5" s="707" t="n"/>
      <c r="DO5" s="707" t="n"/>
      <c r="DP5" s="708" t="n"/>
    </row>
    <row r="6" ht="15.75" customHeight="1" thickTop="1">
      <c r="C6" s="709" t="n"/>
      <c r="D6" s="709" t="n"/>
      <c r="E6" s="709" t="n"/>
      <c r="F6" s="709" t="n"/>
      <c r="G6" s="709" t="n"/>
      <c r="H6" s="709" t="n"/>
      <c r="I6" s="709" t="n"/>
      <c r="J6" s="709" t="n"/>
      <c r="K6" s="709" t="n"/>
      <c r="L6" s="709" t="n"/>
      <c r="M6" s="709" t="n"/>
      <c r="N6" s="709" t="n"/>
      <c r="O6" s="709" t="n"/>
      <c r="P6" s="1549" t="n"/>
      <c r="Q6" s="711" t="n"/>
      <c r="R6" s="711" t="n"/>
      <c r="S6" s="711" t="n"/>
      <c r="T6" s="711" t="n"/>
      <c r="U6" s="711" t="n"/>
      <c r="V6" s="711" t="n"/>
      <c r="W6" s="711" t="n"/>
      <c r="X6" s="711" t="n"/>
      <c r="Y6" s="711" t="n"/>
      <c r="Z6" s="711" t="n"/>
      <c r="AA6" s="711" t="n"/>
      <c r="AB6" s="711" t="n"/>
      <c r="AC6" s="1549" t="n"/>
      <c r="AD6" s="711" t="n"/>
      <c r="AE6" s="711" t="n"/>
      <c r="AF6" s="711" t="n"/>
      <c r="AG6" s="711" t="n"/>
      <c r="AH6" s="711" t="n"/>
      <c r="AI6" s="711" t="n"/>
      <c r="AJ6" s="711" t="n"/>
      <c r="AK6" s="711" t="n"/>
      <c r="AL6" s="711" t="n"/>
      <c r="AM6" s="711" t="n"/>
      <c r="AN6" s="711" t="n"/>
      <c r="AO6" s="711" t="n"/>
      <c r="AP6" s="1549" t="n"/>
      <c r="AQ6" s="711" t="n"/>
      <c r="AR6" s="711" t="n"/>
      <c r="AS6" s="711" t="n"/>
      <c r="AT6" s="711" t="n"/>
      <c r="AU6" s="711" t="n"/>
      <c r="AV6" s="711" t="n"/>
      <c r="AW6" s="711" t="n"/>
      <c r="AX6" s="711" t="n"/>
      <c r="AY6" s="711" t="n"/>
      <c r="AZ6" s="711" t="n"/>
      <c r="BA6" s="711" t="n"/>
      <c r="BB6" s="711" t="n"/>
      <c r="BC6" s="1549" t="n"/>
      <c r="BD6" s="711" t="n"/>
      <c r="BE6" s="711" t="n"/>
      <c r="BF6" s="711" t="n"/>
      <c r="BG6" s="711" t="n"/>
      <c r="BH6" s="711" t="n"/>
      <c r="BI6" s="711" t="n"/>
      <c r="BJ6" s="711" t="n"/>
      <c r="BK6" s="711" t="n"/>
      <c r="BL6" s="711" t="n"/>
      <c r="BM6" s="711" t="n"/>
      <c r="BN6" s="711" t="n"/>
      <c r="BO6" s="711" t="n"/>
      <c r="BP6" s="1549" t="n"/>
      <c r="BQ6" s="711" t="n"/>
      <c r="BR6" s="711" t="n"/>
      <c r="BS6" s="711" t="n"/>
      <c r="BT6" s="711" t="n"/>
      <c r="BU6" s="711" t="n"/>
      <c r="BV6" s="711" t="n"/>
      <c r="BW6" s="711" t="n"/>
      <c r="BX6" s="711" t="n"/>
      <c r="BY6" s="711" t="n"/>
      <c r="BZ6" s="711" t="n"/>
      <c r="CA6" s="711" t="n"/>
      <c r="CB6" s="711" t="n"/>
      <c r="CC6" s="1549" t="n"/>
      <c r="CD6" s="711" t="n"/>
      <c r="CE6" s="711" t="n"/>
      <c r="CF6" s="711" t="n"/>
      <c r="CG6" s="711" t="n"/>
      <c r="CH6" s="711" t="n"/>
      <c r="CI6" s="711" t="n"/>
      <c r="CJ6" s="711" t="n"/>
      <c r="CK6" s="711" t="n"/>
      <c r="CL6" s="711" t="n"/>
      <c r="CM6" s="711" t="n"/>
      <c r="CN6" s="711" t="n"/>
      <c r="CO6" s="711" t="n"/>
      <c r="CP6" s="1549" t="n"/>
      <c r="CQ6" s="711" t="n"/>
      <c r="CR6" s="711" t="n"/>
      <c r="CS6" s="711" t="n"/>
      <c r="CT6" s="711" t="n"/>
      <c r="CU6" s="711" t="n"/>
      <c r="CV6" s="711" t="n"/>
      <c r="CW6" s="711" t="n"/>
      <c r="CX6" s="711" t="n"/>
      <c r="CY6" s="711" t="n"/>
      <c r="CZ6" s="711" t="n"/>
      <c r="DA6" s="711" t="n"/>
      <c r="DB6" s="711" t="n"/>
      <c r="DC6" s="1549" t="n"/>
      <c r="DD6" s="711" t="n"/>
      <c r="DE6" s="711" t="n"/>
      <c r="DF6" s="711" t="n"/>
      <c r="DG6" s="711" t="n"/>
      <c r="DH6" s="711" t="n"/>
      <c r="DI6" s="711" t="n"/>
      <c r="DJ6" s="711" t="n"/>
      <c r="DK6" s="711" t="n"/>
      <c r="DL6" s="711" t="n"/>
      <c r="DM6" s="711" t="n"/>
      <c r="DN6" s="711" t="n"/>
      <c r="DO6" s="711" t="n"/>
      <c r="DP6" s="1549" t="n"/>
    </row>
    <row r="7" ht="15.75" customHeight="1" thickBot="1">
      <c r="B7" s="712" t="n"/>
      <c r="C7" s="713" t="n"/>
      <c r="D7" s="713" t="n"/>
      <c r="E7" s="713" t="n"/>
      <c r="F7" s="713" t="n"/>
      <c r="G7" s="713" t="n"/>
      <c r="H7" s="713" t="n"/>
      <c r="I7" s="713" t="n"/>
      <c r="J7" s="713" t="n"/>
      <c r="K7" s="713" t="n"/>
      <c r="L7" s="713" t="n"/>
      <c r="M7" s="713" t="n"/>
      <c r="N7" s="713" t="n"/>
      <c r="O7" s="713" t="n"/>
      <c r="P7" s="713" t="n"/>
      <c r="Q7" s="713" t="n"/>
      <c r="R7" s="713" t="n"/>
      <c r="S7" s="713" t="n"/>
      <c r="T7" s="713" t="n"/>
      <c r="U7" s="713" t="n"/>
      <c r="V7" s="713" t="n"/>
      <c r="W7" s="713" t="n"/>
      <c r="X7" s="713" t="n"/>
      <c r="Y7" s="713" t="n"/>
      <c r="Z7" s="713" t="n"/>
      <c r="AA7" s="713" t="n"/>
      <c r="AB7" s="713" t="n"/>
      <c r="AC7" s="713" t="n"/>
      <c r="AD7" s="713" t="n"/>
      <c r="AE7" s="713" t="n"/>
      <c r="AF7" s="713" t="n"/>
      <c r="AG7" s="713" t="n"/>
      <c r="AH7" s="713" t="n"/>
      <c r="AI7" s="713" t="n"/>
      <c r="AJ7" s="713" t="n"/>
      <c r="AK7" s="713" t="n"/>
      <c r="AL7" s="713" t="n"/>
      <c r="AM7" s="713" t="n"/>
      <c r="AN7" s="713" t="n"/>
      <c r="AO7" s="713" t="n"/>
      <c r="AP7" s="713" t="n"/>
      <c r="AQ7" s="713" t="n"/>
      <c r="AR7" s="713" t="n"/>
      <c r="AS7" s="713" t="n"/>
      <c r="AT7" s="713" t="n"/>
      <c r="AU7" s="713" t="n"/>
      <c r="AV7" s="713" t="n"/>
      <c r="AW7" s="713" t="n"/>
      <c r="AX7" s="713" t="n"/>
      <c r="AY7" s="713" t="n"/>
      <c r="AZ7" s="713" t="n"/>
      <c r="BA7" s="713" t="n"/>
      <c r="BB7" s="713" t="n"/>
      <c r="BC7" s="713" t="n"/>
      <c r="BD7" s="713" t="n"/>
      <c r="BE7" s="713" t="n"/>
      <c r="BF7" s="713" t="n"/>
      <c r="BG7" s="713" t="n"/>
      <c r="BH7" s="713" t="n"/>
      <c r="BI7" s="713" t="n"/>
      <c r="BJ7" s="713" t="n"/>
      <c r="BK7" s="713" t="n"/>
      <c r="BL7" s="713" t="n"/>
      <c r="BM7" s="713" t="n"/>
      <c r="BN7" s="713" t="n"/>
      <c r="BO7" s="713" t="n"/>
      <c r="BP7" s="713" t="n"/>
      <c r="BQ7" s="713" t="n"/>
      <c r="BR7" s="713" t="n"/>
      <c r="BS7" s="713" t="n"/>
      <c r="BT7" s="713" t="n"/>
      <c r="BU7" s="713" t="n"/>
      <c r="BV7" s="713" t="n"/>
      <c r="BW7" s="713" t="n"/>
      <c r="BX7" s="713" t="n"/>
      <c r="BY7" s="713" t="n"/>
      <c r="BZ7" s="713" t="n"/>
      <c r="CA7" s="713" t="n"/>
      <c r="CB7" s="713" t="n"/>
      <c r="CC7" s="713" t="n"/>
      <c r="CD7" s="713" t="n"/>
      <c r="CE7" s="713" t="n"/>
      <c r="CF7" s="713" t="n"/>
      <c r="CG7" s="713" t="n"/>
      <c r="CH7" s="713" t="n"/>
      <c r="CI7" s="713" t="n"/>
      <c r="CJ7" s="713" t="n"/>
      <c r="CK7" s="713" t="n"/>
      <c r="CL7" s="713" t="n"/>
      <c r="CM7" s="713" t="n"/>
      <c r="CN7" s="713" t="n"/>
      <c r="CO7" s="713" t="n"/>
      <c r="CP7" s="713" t="n"/>
      <c r="CQ7" s="713" t="n"/>
      <c r="CR7" s="713" t="n"/>
      <c r="CS7" s="713" t="n"/>
      <c r="CT7" s="713" t="n"/>
      <c r="CU7" s="713" t="n"/>
      <c r="CV7" s="713" t="n"/>
      <c r="CW7" s="713" t="n"/>
      <c r="CX7" s="713" t="n"/>
      <c r="CY7" s="713" t="n"/>
      <c r="CZ7" s="713" t="n"/>
      <c r="DA7" s="713" t="n"/>
      <c r="DB7" s="713" t="n"/>
      <c r="DC7" s="713" t="n"/>
      <c r="DD7" s="713" t="n"/>
      <c r="DE7" s="713" t="n"/>
      <c r="DF7" s="713" t="n"/>
      <c r="DG7" s="713" t="n"/>
      <c r="DH7" s="713" t="n"/>
      <c r="DI7" s="713" t="n"/>
      <c r="DJ7" s="713" t="n"/>
      <c r="DK7" s="713" t="n"/>
      <c r="DL7" s="713" t="n"/>
      <c r="DM7" s="713" t="n"/>
      <c r="DN7" s="713" t="n"/>
      <c r="DO7" s="713" t="n"/>
      <c r="DP7" s="713" t="n"/>
    </row>
    <row r="8" ht="15.75" customHeight="1" thickTop="1">
      <c r="A8" s="714" t="n"/>
      <c r="B8" s="715" t="n"/>
      <c r="C8" s="1505" t="n"/>
      <c r="D8" s="1505" t="n"/>
      <c r="E8" s="1505" t="n"/>
      <c r="F8" s="1505" t="n"/>
      <c r="G8" s="1505" t="n"/>
      <c r="H8" s="1505" t="n"/>
      <c r="I8" s="1505" t="n"/>
      <c r="J8" s="1505" t="n"/>
      <c r="K8" s="1505" t="n"/>
      <c r="L8" s="1505" t="n"/>
      <c r="M8" s="1505" t="n"/>
      <c r="N8" s="1505" t="n"/>
      <c r="O8" s="1505" t="n"/>
      <c r="P8" s="1507">
        <f>SUM(C8:O8)</f>
        <v/>
      </c>
      <c r="Q8" s="1505" t="n"/>
      <c r="R8" s="1505" t="n"/>
      <c r="S8" s="1505" t="n"/>
      <c r="T8" s="1505" t="n"/>
      <c r="U8" s="1505" t="n"/>
      <c r="V8" s="1505" t="n"/>
      <c r="W8" s="1505" t="n"/>
      <c r="X8" s="1505" t="n"/>
      <c r="Y8" s="1505" t="n"/>
      <c r="Z8" s="1505" t="n"/>
      <c r="AA8" s="1505" t="n"/>
      <c r="AB8" s="1505" t="n"/>
      <c r="AC8" s="1507">
        <f>SUM(Q8:AB8)</f>
        <v/>
      </c>
      <c r="AD8" s="1505" t="n"/>
      <c r="AE8" s="1505" t="n"/>
      <c r="AF8" s="1505" t="n"/>
      <c r="AG8" s="1505" t="n"/>
      <c r="AH8" s="1505" t="n"/>
      <c r="AI8" s="1505" t="n"/>
      <c r="AJ8" s="1505" t="n"/>
      <c r="AK8" s="1505" t="n"/>
      <c r="AL8" s="1505" t="n"/>
      <c r="AM8" s="1505" t="n"/>
      <c r="AN8" s="1505" t="n"/>
      <c r="AO8" s="1505" t="n"/>
      <c r="AP8" s="1507">
        <f>SUM(AD8:AO8)</f>
        <v/>
      </c>
      <c r="AQ8" s="1505" t="n"/>
      <c r="AR8" s="1505" t="n"/>
      <c r="AS8" s="1505" t="n"/>
      <c r="AT8" s="1505" t="n"/>
      <c r="AU8" s="1505" t="n"/>
      <c r="AV8" s="1505" t="n"/>
      <c r="AW8" s="1505" t="n"/>
      <c r="AX8" s="1505" t="n"/>
      <c r="AY8" s="1505" t="n"/>
      <c r="AZ8" s="1505" t="n"/>
      <c r="BA8" s="1505" t="n"/>
      <c r="BB8" s="1505" t="n"/>
      <c r="BC8" s="1507">
        <f>SUM(AQ8:BB8)</f>
        <v/>
      </c>
      <c r="BD8" s="1505" t="n"/>
      <c r="BE8" s="1505" t="n"/>
      <c r="BF8" s="1505" t="n"/>
      <c r="BG8" s="1505" t="n"/>
      <c r="BH8" s="1505" t="n"/>
      <c r="BI8" s="1505" t="n"/>
      <c r="BJ8" s="1505" t="n"/>
      <c r="BK8" s="1505" t="n"/>
      <c r="BL8" s="1505" t="n"/>
      <c r="BM8" s="1505" t="n"/>
      <c r="BN8" s="1505" t="n"/>
      <c r="BO8" s="1505" t="n"/>
      <c r="BP8" s="1507">
        <f>SUM(BD8:BO8)</f>
        <v/>
      </c>
      <c r="BQ8" s="1505" t="n"/>
      <c r="BR8" s="1505" t="n"/>
      <c r="BS8" s="1505" t="n"/>
      <c r="BT8" s="1505" t="n"/>
      <c r="BU8" s="1505" t="n"/>
      <c r="BV8" s="1505" t="n"/>
      <c r="BW8" s="1505" t="n"/>
      <c r="BX8" s="1505" t="n"/>
      <c r="BY8" s="1505" t="n"/>
      <c r="BZ8" s="1505" t="n"/>
      <c r="CA8" s="1505" t="n"/>
      <c r="CB8" s="1505" t="n"/>
      <c r="CC8" s="1507">
        <f>SUM(BQ8:CB8)</f>
        <v/>
      </c>
      <c r="CD8" s="1505" t="n"/>
      <c r="CE8" s="1505" t="n"/>
      <c r="CF8" s="1505" t="n"/>
      <c r="CG8" s="1505" t="n"/>
      <c r="CH8" s="1505" t="n"/>
      <c r="CI8" s="1505" t="n"/>
      <c r="CJ8" s="1505" t="n"/>
      <c r="CK8" s="1505" t="n"/>
      <c r="CL8" s="1505" t="n"/>
      <c r="CM8" s="1505" t="n"/>
      <c r="CN8" s="1505" t="n"/>
      <c r="CO8" s="1505" t="n"/>
      <c r="CP8" s="1507">
        <f>SUM(CD8:CO8)</f>
        <v/>
      </c>
      <c r="CQ8" s="1505" t="n"/>
      <c r="CR8" s="1505" t="n"/>
      <c r="CS8" s="1505" t="n"/>
      <c r="CT8" s="1505" t="n"/>
      <c r="CU8" s="1505" t="n"/>
      <c r="CV8" s="1505" t="n"/>
      <c r="CW8" s="1505" t="n"/>
      <c r="CX8" s="1505" t="n"/>
      <c r="CY8" s="1505" t="n"/>
      <c r="CZ8" s="1505" t="n"/>
      <c r="DA8" s="1505" t="n"/>
      <c r="DB8" s="1505" t="n"/>
      <c r="DC8" s="1507">
        <f>SUM(CQ8:DB8)</f>
        <v/>
      </c>
      <c r="DD8" s="1505" t="n"/>
      <c r="DE8" s="1505" t="n"/>
      <c r="DF8" s="1505" t="n"/>
      <c r="DG8" s="1505" t="n"/>
      <c r="DH8" s="1505" t="n"/>
      <c r="DI8" s="1505" t="n"/>
      <c r="DJ8" s="1505" t="n"/>
      <c r="DK8" s="1505" t="n"/>
      <c r="DL8" s="1505" t="n"/>
      <c r="DM8" s="1505" t="n"/>
      <c r="DN8" s="1505" t="n"/>
      <c r="DO8" s="1505" t="n"/>
      <c r="DP8" s="1507">
        <f>SUM(DD8:DO8)</f>
        <v/>
      </c>
      <c r="DR8" s="1508" t="n"/>
    </row>
    <row r="9">
      <c r="A9" s="714" t="n"/>
      <c r="B9" s="719" t="n"/>
      <c r="C9" s="1505" t="n"/>
      <c r="D9" s="1505" t="n"/>
      <c r="E9" s="1505" t="n"/>
      <c r="F9" s="1505" t="n"/>
      <c r="G9" s="1505" t="n"/>
      <c r="H9" s="1505" t="n"/>
      <c r="I9" s="1505" t="n"/>
      <c r="J9" s="1505" t="n"/>
      <c r="K9" s="1505" t="n"/>
      <c r="L9" s="1505" t="n"/>
      <c r="M9" s="1505" t="n"/>
      <c r="N9" s="1505" t="n"/>
      <c r="O9" s="1505" t="n"/>
      <c r="P9" s="1507">
        <f>SUM(C9:O9)</f>
        <v/>
      </c>
      <c r="Q9" s="1505" t="n"/>
      <c r="R9" s="1505" t="n"/>
      <c r="S9" s="1505" t="n"/>
      <c r="T9" s="1505" t="n"/>
      <c r="U9" s="1505" t="n"/>
      <c r="V9" s="1505" t="n"/>
      <c r="W9" s="1505" t="n"/>
      <c r="X9" s="1505" t="n"/>
      <c r="Y9" s="1505" t="n"/>
      <c r="Z9" s="1505" t="n"/>
      <c r="AA9" s="1505" t="n"/>
      <c r="AB9" s="1505" t="n"/>
      <c r="AC9" s="1507">
        <f>SUM(Q9:AB9)</f>
        <v/>
      </c>
      <c r="AD9" s="1505" t="n"/>
      <c r="AE9" s="1505" t="n"/>
      <c r="AF9" s="1505" t="n"/>
      <c r="AG9" s="1505" t="n"/>
      <c r="AH9" s="1505" t="n"/>
      <c r="AI9" s="1505" t="n"/>
      <c r="AJ9" s="1505" t="n"/>
      <c r="AK9" s="1505" t="n"/>
      <c r="AL9" s="1505" t="n"/>
      <c r="AM9" s="1505" t="n"/>
      <c r="AN9" s="1505" t="n"/>
      <c r="AO9" s="1505" t="n"/>
      <c r="AP9" s="1507">
        <f>SUM(AD9:AO9)</f>
        <v/>
      </c>
      <c r="AQ9" s="1505" t="n"/>
      <c r="AR9" s="1505" t="n"/>
      <c r="AS9" s="1505" t="n"/>
      <c r="AT9" s="1505" t="n"/>
      <c r="AU9" s="1505" t="n"/>
      <c r="AV9" s="1505" t="n"/>
      <c r="AW9" s="1505" t="n"/>
      <c r="AX9" s="1505" t="n"/>
      <c r="AY9" s="1505" t="n"/>
      <c r="AZ9" s="1505" t="n"/>
      <c r="BA9" s="1505" t="n"/>
      <c r="BB9" s="1505" t="n"/>
      <c r="BC9" s="1507">
        <f>SUM(AQ9:BB9)</f>
        <v/>
      </c>
      <c r="BD9" s="1505" t="n"/>
      <c r="BE9" s="1505" t="n"/>
      <c r="BF9" s="1505" t="n"/>
      <c r="BG9" s="1505" t="n"/>
      <c r="BH9" s="1505" t="n"/>
      <c r="BI9" s="1505" t="n"/>
      <c r="BJ9" s="1505" t="n"/>
      <c r="BK9" s="1505" t="n"/>
      <c r="BL9" s="1505" t="n"/>
      <c r="BM9" s="1505" t="n"/>
      <c r="BN9" s="1505" t="n"/>
      <c r="BO9" s="1505" t="n"/>
      <c r="BP9" s="1507">
        <f>SUM(BD9:BO9)</f>
        <v/>
      </c>
      <c r="BQ9" s="1505" t="n"/>
      <c r="BR9" s="1505" t="n"/>
      <c r="BS9" s="1505" t="n"/>
      <c r="BT9" s="1505" t="n"/>
      <c r="BU9" s="1505" t="n"/>
      <c r="BV9" s="1505" t="n"/>
      <c r="BW9" s="1505" t="n"/>
      <c r="BX9" s="1505" t="n"/>
      <c r="BY9" s="1505" t="n"/>
      <c r="BZ9" s="1505" t="n"/>
      <c r="CA9" s="1505" t="n"/>
      <c r="CB9" s="1505" t="n"/>
      <c r="CC9" s="1507">
        <f>SUM(BQ9:CB9)</f>
        <v/>
      </c>
      <c r="CD9" s="1505" t="n"/>
      <c r="CE9" s="1505" t="n"/>
      <c r="CF9" s="1505" t="n"/>
      <c r="CG9" s="1505" t="n"/>
      <c r="CH9" s="1505" t="n"/>
      <c r="CI9" s="1505" t="n"/>
      <c r="CJ9" s="1505" t="n"/>
      <c r="CK9" s="1505" t="n"/>
      <c r="CL9" s="1505" t="n"/>
      <c r="CM9" s="1505" t="n"/>
      <c r="CN9" s="1505" t="n"/>
      <c r="CO9" s="1505" t="n"/>
      <c r="CP9" s="1507">
        <f>SUM(CD9:CO9)</f>
        <v/>
      </c>
      <c r="CQ9" s="1505" t="n"/>
      <c r="CR9" s="1505" t="n"/>
      <c r="CS9" s="1505" t="n"/>
      <c r="CT9" s="1505" t="n"/>
      <c r="CU9" s="1505" t="n"/>
      <c r="CV9" s="1505" t="n"/>
      <c r="CW9" s="1505" t="n"/>
      <c r="CX9" s="1505" t="n"/>
      <c r="CY9" s="1505" t="n"/>
      <c r="CZ9" s="1505" t="n"/>
      <c r="DA9" s="1505" t="n"/>
      <c r="DB9" s="1505" t="n"/>
      <c r="DC9" s="1507">
        <f>SUM(CQ9:DB9)</f>
        <v/>
      </c>
      <c r="DD9" s="1505" t="n"/>
      <c r="DE9" s="1505" t="n"/>
      <c r="DF9" s="1505" t="n"/>
      <c r="DG9" s="1505" t="n"/>
      <c r="DH9" s="1505" t="n"/>
      <c r="DI9" s="1505" t="n"/>
      <c r="DJ9" s="1505" t="n"/>
      <c r="DK9" s="1505" t="n"/>
      <c r="DL9" s="1505" t="n"/>
      <c r="DM9" s="1505" t="n"/>
      <c r="DN9" s="1505" t="n"/>
      <c r="DO9" s="1505" t="n"/>
      <c r="DP9" s="1507">
        <f>SUM(DD9:DO9)</f>
        <v/>
      </c>
      <c r="DR9" s="1508" t="n"/>
    </row>
    <row r="10">
      <c r="A10" s="714" t="n"/>
      <c r="B10" s="719" t="n"/>
      <c r="C10" s="1505" t="n"/>
      <c r="D10" s="1505" t="n"/>
      <c r="E10" s="1505" t="n"/>
      <c r="F10" s="1505" t="n"/>
      <c r="G10" s="1505" t="n"/>
      <c r="H10" s="1505" t="n"/>
      <c r="I10" s="1505" t="n"/>
      <c r="J10" s="1505" t="n"/>
      <c r="K10" s="1505" t="n"/>
      <c r="L10" s="1505" t="n"/>
      <c r="M10" s="1505" t="n"/>
      <c r="N10" s="1505" t="n"/>
      <c r="O10" s="1505" t="n"/>
      <c r="P10" s="1507">
        <f>SUM(C10:O10)</f>
        <v/>
      </c>
      <c r="Q10" s="1505" t="n"/>
      <c r="R10" s="1505" t="n"/>
      <c r="S10" s="1505" t="n"/>
      <c r="T10" s="1505" t="n"/>
      <c r="U10" s="1505" t="n"/>
      <c r="V10" s="1505" t="n"/>
      <c r="W10" s="1505" t="n"/>
      <c r="X10" s="1505" t="n"/>
      <c r="Y10" s="1505" t="n"/>
      <c r="Z10" s="1505" t="n"/>
      <c r="AA10" s="1505" t="n"/>
      <c r="AB10" s="1505" t="n"/>
      <c r="AC10" s="1507">
        <f>SUM(Q10:AB10)</f>
        <v/>
      </c>
      <c r="AD10" s="1505" t="n"/>
      <c r="AE10" s="1505" t="n"/>
      <c r="AF10" s="1505" t="n"/>
      <c r="AG10" s="1505" t="n"/>
      <c r="AH10" s="1505" t="n"/>
      <c r="AI10" s="1505" t="n"/>
      <c r="AJ10" s="1505" t="n"/>
      <c r="AK10" s="1505" t="n"/>
      <c r="AL10" s="1505" t="n"/>
      <c r="AM10" s="1505" t="n"/>
      <c r="AN10" s="1505" t="n"/>
      <c r="AO10" s="1505" t="n"/>
      <c r="AP10" s="1507">
        <f>SUM(AD10:AO10)</f>
        <v/>
      </c>
      <c r="AQ10" s="1505" t="n"/>
      <c r="AR10" s="1505" t="n"/>
      <c r="AS10" s="1505" t="n"/>
      <c r="AT10" s="1505" t="n"/>
      <c r="AU10" s="1505" t="n"/>
      <c r="AV10" s="1505" t="n"/>
      <c r="AW10" s="1505" t="n"/>
      <c r="AX10" s="1505" t="n"/>
      <c r="AY10" s="1505" t="n"/>
      <c r="AZ10" s="1505" t="n"/>
      <c r="BA10" s="1505" t="n"/>
      <c r="BB10" s="1505" t="n"/>
      <c r="BC10" s="1507">
        <f>SUM(AQ10:BB10)</f>
        <v/>
      </c>
      <c r="BD10" s="1505" t="n"/>
      <c r="BE10" s="1505" t="n"/>
      <c r="BF10" s="1505" t="n"/>
      <c r="BG10" s="1505" t="n"/>
      <c r="BH10" s="1505" t="n"/>
      <c r="BI10" s="1505" t="n"/>
      <c r="BJ10" s="1505" t="n"/>
      <c r="BK10" s="1505" t="n"/>
      <c r="BL10" s="1505" t="n"/>
      <c r="BM10" s="1505" t="n"/>
      <c r="BN10" s="1505" t="n"/>
      <c r="BO10" s="1505" t="n"/>
      <c r="BP10" s="1507">
        <f>SUM(BD10:BO10)</f>
        <v/>
      </c>
      <c r="BQ10" s="1505" t="n"/>
      <c r="BR10" s="1505" t="n"/>
      <c r="BS10" s="1505" t="n"/>
      <c r="BT10" s="1505" t="n"/>
      <c r="BU10" s="1505" t="n"/>
      <c r="BV10" s="1505" t="n"/>
      <c r="BW10" s="1505" t="n"/>
      <c r="BX10" s="1505" t="n"/>
      <c r="BY10" s="1505" t="n"/>
      <c r="BZ10" s="1505" t="n"/>
      <c r="CA10" s="1505" t="n"/>
      <c r="CB10" s="1505" t="n"/>
      <c r="CC10" s="1507">
        <f>SUM(BQ10:CB10)</f>
        <v/>
      </c>
      <c r="CD10" s="1505" t="n"/>
      <c r="CE10" s="1505" t="n"/>
      <c r="CF10" s="1505" t="n"/>
      <c r="CG10" s="1505" t="n"/>
      <c r="CH10" s="1505" t="n"/>
      <c r="CI10" s="1505" t="n"/>
      <c r="CJ10" s="1505" t="n"/>
      <c r="CK10" s="1505" t="n"/>
      <c r="CL10" s="1505" t="n"/>
      <c r="CM10" s="1505" t="n"/>
      <c r="CN10" s="1505" t="n"/>
      <c r="CO10" s="1505" t="n"/>
      <c r="CP10" s="1507">
        <f>SUM(CD10:CO10)</f>
        <v/>
      </c>
      <c r="CQ10" s="1505" t="n"/>
      <c r="CR10" s="1505" t="n"/>
      <c r="CS10" s="1505" t="n"/>
      <c r="CT10" s="1505" t="n"/>
      <c r="CU10" s="1505" t="n"/>
      <c r="CV10" s="1505" t="n"/>
      <c r="CW10" s="1505" t="n"/>
      <c r="CX10" s="1505" t="n"/>
      <c r="CY10" s="1505" t="n"/>
      <c r="CZ10" s="1505" t="n"/>
      <c r="DA10" s="1505" t="n"/>
      <c r="DB10" s="1505" t="n"/>
      <c r="DC10" s="1507">
        <f>SUM(CQ10:DB10)</f>
        <v/>
      </c>
      <c r="DD10" s="1505" t="n"/>
      <c r="DE10" s="1505" t="n"/>
      <c r="DF10" s="1505" t="n"/>
      <c r="DG10" s="1505" t="n"/>
      <c r="DH10" s="1505" t="n"/>
      <c r="DI10" s="1505" t="n"/>
      <c r="DJ10" s="1505" t="n"/>
      <c r="DK10" s="1505" t="n"/>
      <c r="DL10" s="1505" t="n"/>
      <c r="DM10" s="1505" t="n"/>
      <c r="DN10" s="1505" t="n"/>
      <c r="DO10" s="1505" t="n"/>
      <c r="DP10" s="1507">
        <f>SUM(DD10:DO10)</f>
        <v/>
      </c>
    </row>
    <row r="11">
      <c r="A11" s="714" t="n"/>
      <c r="B11" s="719" t="n"/>
      <c r="C11" s="1505" t="n"/>
      <c r="D11" s="1505" t="n"/>
      <c r="E11" s="1505" t="n"/>
      <c r="F11" s="1505" t="n"/>
      <c r="G11" s="1505" t="n"/>
      <c r="H11" s="1505" t="n"/>
      <c r="I11" s="1505" t="n"/>
      <c r="J11" s="1505" t="n"/>
      <c r="K11" s="1505" t="n"/>
      <c r="L11" s="1505" t="n"/>
      <c r="M11" s="1505" t="n"/>
      <c r="N11" s="1505" t="n"/>
      <c r="O11" s="1505" t="n"/>
      <c r="P11" s="1507">
        <f>SUM(C11:O11)</f>
        <v/>
      </c>
      <c r="Q11" s="1505" t="n"/>
      <c r="R11" s="1505" t="n"/>
      <c r="S11" s="1505" t="n"/>
      <c r="T11" s="1505" t="n"/>
      <c r="U11" s="1505" t="n"/>
      <c r="V11" s="1505" t="n"/>
      <c r="W11" s="1505" t="n"/>
      <c r="X11" s="1505" t="n"/>
      <c r="Y11" s="1505" t="n"/>
      <c r="Z11" s="1505" t="n"/>
      <c r="AA11" s="1505" t="n"/>
      <c r="AB11" s="1505" t="n"/>
      <c r="AC11" s="1507">
        <f>SUM(Q11:AB11)</f>
        <v/>
      </c>
      <c r="AD11" s="1505" t="n"/>
      <c r="AE11" s="1505" t="n"/>
      <c r="AF11" s="1505" t="n"/>
      <c r="AG11" s="1505" t="n"/>
      <c r="AH11" s="1505" t="n"/>
      <c r="AI11" s="1505" t="n"/>
      <c r="AJ11" s="1505" t="n"/>
      <c r="AK11" s="1505" t="n"/>
      <c r="AL11" s="1505" t="n"/>
      <c r="AM11" s="1505" t="n"/>
      <c r="AN11" s="1505" t="n"/>
      <c r="AO11" s="1505" t="n"/>
      <c r="AP11" s="1507">
        <f>SUM(AD11:AO11)</f>
        <v/>
      </c>
      <c r="AQ11" s="1505" t="n"/>
      <c r="AR11" s="1505" t="n"/>
      <c r="AS11" s="1505" t="n"/>
      <c r="AT11" s="1505" t="n"/>
      <c r="AU11" s="1505" t="n"/>
      <c r="AV11" s="1505" t="n"/>
      <c r="AW11" s="1505" t="n"/>
      <c r="AX11" s="1505" t="n"/>
      <c r="AY11" s="1505" t="n"/>
      <c r="AZ11" s="1505" t="n"/>
      <c r="BA11" s="1505" t="n"/>
      <c r="BB11" s="1505" t="n"/>
      <c r="BC11" s="1507">
        <f>SUM(AQ11:BB11)</f>
        <v/>
      </c>
      <c r="BD11" s="1505" t="n"/>
      <c r="BE11" s="1505" t="n"/>
      <c r="BF11" s="1505" t="n"/>
      <c r="BG11" s="1505" t="n"/>
      <c r="BH11" s="1505" t="n"/>
      <c r="BI11" s="1505" t="n"/>
      <c r="BJ11" s="1505" t="n"/>
      <c r="BK11" s="1505" t="n"/>
      <c r="BL11" s="1505" t="n"/>
      <c r="BM11" s="1505" t="n"/>
      <c r="BN11" s="1505" t="n"/>
      <c r="BO11" s="1505" t="n"/>
      <c r="BP11" s="1507">
        <f>SUM(BD11:BO11)</f>
        <v/>
      </c>
      <c r="BQ11" s="1505" t="n"/>
      <c r="BR11" s="1505" t="n"/>
      <c r="BS11" s="1505" t="n"/>
      <c r="BT11" s="1505" t="n"/>
      <c r="BU11" s="1505" t="n"/>
      <c r="BV11" s="1505" t="n"/>
      <c r="BW11" s="1505" t="n"/>
      <c r="BX11" s="1505" t="n"/>
      <c r="BY11" s="1505" t="n"/>
      <c r="BZ11" s="1505" t="n"/>
      <c r="CA11" s="1505" t="n"/>
      <c r="CB11" s="1505" t="n"/>
      <c r="CC11" s="1507">
        <f>SUM(BQ11:CB11)</f>
        <v/>
      </c>
      <c r="CD11" s="1505" t="n"/>
      <c r="CE11" s="1505" t="n"/>
      <c r="CF11" s="1505" t="n"/>
      <c r="CG11" s="1505" t="n"/>
      <c r="CH11" s="1505" t="n"/>
      <c r="CI11" s="1505" t="n"/>
      <c r="CJ11" s="1505" t="n"/>
      <c r="CK11" s="1505" t="n"/>
      <c r="CL11" s="1505" t="n"/>
      <c r="CM11" s="1505" t="n"/>
      <c r="CN11" s="1505" t="n"/>
      <c r="CO11" s="1505" t="n"/>
      <c r="CP11" s="1507">
        <f>SUM(CD11:CO11)</f>
        <v/>
      </c>
      <c r="CQ11" s="1505" t="n"/>
      <c r="CR11" s="1505" t="n"/>
      <c r="CS11" s="1505" t="n"/>
      <c r="CT11" s="1505" t="n"/>
      <c r="CU11" s="1505" t="n"/>
      <c r="CV11" s="1505" t="n"/>
      <c r="CW11" s="1505" t="n"/>
      <c r="CX11" s="1505" t="n"/>
      <c r="CY11" s="1505" t="n"/>
      <c r="CZ11" s="1505" t="n"/>
      <c r="DA11" s="1505" t="n"/>
      <c r="DB11" s="1505" t="n"/>
      <c r="DC11" s="1507">
        <f>SUM(CQ11:DB11)</f>
        <v/>
      </c>
      <c r="DD11" s="1505" t="n"/>
      <c r="DE11" s="1505" t="n"/>
      <c r="DF11" s="1505" t="n"/>
      <c r="DG11" s="1505" t="n"/>
      <c r="DH11" s="1505" t="n"/>
      <c r="DI11" s="1505" t="n"/>
      <c r="DJ11" s="1505" t="n"/>
      <c r="DK11" s="1505" t="n"/>
      <c r="DL11" s="1505" t="n"/>
      <c r="DM11" s="1505" t="n"/>
      <c r="DN11" s="1505" t="n"/>
      <c r="DO11" s="1505" t="n"/>
      <c r="DP11" s="1507">
        <f>SUM(DD11:DO11)</f>
        <v/>
      </c>
    </row>
    <row r="12">
      <c r="A12" s="714" t="n"/>
      <c r="B12" s="719" t="n"/>
      <c r="C12" s="1505" t="n"/>
      <c r="D12" s="1505" t="n"/>
      <c r="E12" s="1505" t="n"/>
      <c r="F12" s="1505" t="n"/>
      <c r="G12" s="1505" t="n"/>
      <c r="H12" s="1505" t="n"/>
      <c r="I12" s="1505" t="n"/>
      <c r="J12" s="1505" t="n"/>
      <c r="K12" s="1505" t="n"/>
      <c r="L12" s="1505" t="n"/>
      <c r="M12" s="1505" t="n"/>
      <c r="N12" s="1505" t="n"/>
      <c r="O12" s="1505" t="n"/>
      <c r="P12" s="1507">
        <f>SUM(C12:O12)</f>
        <v/>
      </c>
      <c r="Q12" s="1505" t="n"/>
      <c r="R12" s="1505" t="n"/>
      <c r="S12" s="1505" t="n"/>
      <c r="T12" s="1505" t="n"/>
      <c r="U12" s="1505" t="n"/>
      <c r="V12" s="1505" t="n"/>
      <c r="W12" s="1505" t="n"/>
      <c r="X12" s="1505" t="n"/>
      <c r="Y12" s="1505" t="n"/>
      <c r="Z12" s="1505" t="n"/>
      <c r="AA12" s="1505" t="n"/>
      <c r="AB12" s="1505" t="n"/>
      <c r="AC12" s="1507">
        <f>SUM(Q12:AB12)</f>
        <v/>
      </c>
      <c r="AD12" s="1505" t="n"/>
      <c r="AE12" s="1505" t="n"/>
      <c r="AF12" s="1505" t="n"/>
      <c r="AG12" s="1505" t="n"/>
      <c r="AH12" s="1505" t="n"/>
      <c r="AI12" s="1505" t="n"/>
      <c r="AJ12" s="1505" t="n"/>
      <c r="AK12" s="1505" t="n"/>
      <c r="AL12" s="1505" t="n"/>
      <c r="AM12" s="1505" t="n"/>
      <c r="AN12" s="1505" t="n"/>
      <c r="AO12" s="1505" t="n"/>
      <c r="AP12" s="1507">
        <f>SUM(AD12:AO12)</f>
        <v/>
      </c>
      <c r="AQ12" s="1505" t="n"/>
      <c r="AR12" s="1505" t="n"/>
      <c r="AS12" s="1505" t="n"/>
      <c r="AT12" s="1505" t="n"/>
      <c r="AU12" s="1505" t="n"/>
      <c r="AV12" s="1505" t="n"/>
      <c r="AW12" s="1505" t="n"/>
      <c r="AX12" s="1505" t="n"/>
      <c r="AY12" s="1505" t="n"/>
      <c r="AZ12" s="1505" t="n"/>
      <c r="BA12" s="1505" t="n"/>
      <c r="BB12" s="1505" t="n"/>
      <c r="BC12" s="1507">
        <f>SUM(AQ12:BB12)</f>
        <v/>
      </c>
      <c r="BD12" s="1505" t="n"/>
      <c r="BE12" s="1505" t="n"/>
      <c r="BF12" s="1505" t="n"/>
      <c r="BG12" s="1505" t="n"/>
      <c r="BH12" s="1505" t="n"/>
      <c r="BI12" s="1505" t="n"/>
      <c r="BJ12" s="1505" t="n"/>
      <c r="BK12" s="1505" t="n"/>
      <c r="BL12" s="1505" t="n"/>
      <c r="BM12" s="1505" t="n"/>
      <c r="BN12" s="1505" t="n"/>
      <c r="BO12" s="1505" t="n"/>
      <c r="BP12" s="1507">
        <f>SUM(BD12:BO12)</f>
        <v/>
      </c>
      <c r="BQ12" s="1505" t="n"/>
      <c r="BR12" s="1505" t="n"/>
      <c r="BS12" s="1505" t="n"/>
      <c r="BT12" s="1505" t="n"/>
      <c r="BU12" s="1505" t="n"/>
      <c r="BV12" s="1505" t="n"/>
      <c r="BW12" s="1505" t="n"/>
      <c r="BX12" s="1505" t="n"/>
      <c r="BY12" s="1505" t="n"/>
      <c r="BZ12" s="1505" t="n"/>
      <c r="CA12" s="1505" t="n"/>
      <c r="CB12" s="1505" t="n"/>
      <c r="CC12" s="1507">
        <f>SUM(BQ12:CB12)</f>
        <v/>
      </c>
      <c r="CD12" s="1505" t="n"/>
      <c r="CE12" s="1505" t="n"/>
      <c r="CF12" s="1505" t="n"/>
      <c r="CG12" s="1505" t="n"/>
      <c r="CH12" s="1505" t="n"/>
      <c r="CI12" s="1505" t="n"/>
      <c r="CJ12" s="1505" t="n"/>
      <c r="CK12" s="1505" t="n"/>
      <c r="CL12" s="1505" t="n"/>
      <c r="CM12" s="1505" t="n"/>
      <c r="CN12" s="1505" t="n"/>
      <c r="CO12" s="1505" t="n"/>
      <c r="CP12" s="1507">
        <f>SUM(CD12:CO12)</f>
        <v/>
      </c>
      <c r="CQ12" s="1505" t="n"/>
      <c r="CR12" s="1505" t="n"/>
      <c r="CS12" s="1505" t="n"/>
      <c r="CT12" s="1505" t="n"/>
      <c r="CU12" s="1505" t="n"/>
      <c r="CV12" s="1505" t="n"/>
      <c r="CW12" s="1505" t="n"/>
      <c r="CX12" s="1505" t="n"/>
      <c r="CY12" s="1505" t="n"/>
      <c r="CZ12" s="1505" t="n"/>
      <c r="DA12" s="1505" t="n"/>
      <c r="DB12" s="1505" t="n"/>
      <c r="DC12" s="1507">
        <f>SUM(CQ12:DB12)</f>
        <v/>
      </c>
      <c r="DD12" s="1505" t="n"/>
      <c r="DE12" s="1505" t="n"/>
      <c r="DF12" s="1505" t="n"/>
      <c r="DG12" s="1505" t="n"/>
      <c r="DH12" s="1505" t="n"/>
      <c r="DI12" s="1505" t="n"/>
      <c r="DJ12" s="1505" t="n"/>
      <c r="DK12" s="1505" t="n"/>
      <c r="DL12" s="1505" t="n"/>
      <c r="DM12" s="1505" t="n"/>
      <c r="DN12" s="1505" t="n"/>
      <c r="DO12" s="1505" t="n"/>
      <c r="DP12" s="1507">
        <f>SUM(DD12:DO12)</f>
        <v/>
      </c>
    </row>
    <row r="13">
      <c r="A13" s="714" t="n"/>
      <c r="B13" s="719" t="n"/>
      <c r="C13" s="1505">
        <f>-C12</f>
        <v/>
      </c>
      <c r="D13" s="1505" t="n"/>
      <c r="E13" s="1505" t="n"/>
      <c r="F13" s="1505" t="n"/>
      <c r="G13" s="1505" t="n"/>
      <c r="H13" s="1505" t="n"/>
      <c r="I13" s="1505" t="n"/>
      <c r="J13" s="1505" t="n"/>
      <c r="K13" s="1505" t="n"/>
      <c r="L13" s="1505" t="n"/>
      <c r="M13" s="1505" t="n"/>
      <c r="N13" s="1505" t="n"/>
      <c r="O13" s="1505" t="n"/>
      <c r="P13" s="1507">
        <f>SUM(C13:O13)</f>
        <v/>
      </c>
      <c r="Q13" s="1505" t="n"/>
      <c r="R13" s="1505" t="n"/>
      <c r="S13" s="1505" t="n"/>
      <c r="T13" s="1505" t="n"/>
      <c r="U13" s="1505" t="n"/>
      <c r="V13" s="1505" t="n"/>
      <c r="W13" s="1505" t="n"/>
      <c r="X13" s="1505" t="n"/>
      <c r="Y13" s="1505" t="n"/>
      <c r="Z13" s="1505" t="n"/>
      <c r="AA13" s="1505" t="n"/>
      <c r="AB13" s="1505" t="n"/>
      <c r="AC13" s="1507">
        <f>SUM(Q13:AB13)</f>
        <v/>
      </c>
      <c r="AD13" s="1505" t="n"/>
      <c r="AE13" s="1505" t="n"/>
      <c r="AF13" s="1505" t="n"/>
      <c r="AG13" s="1505" t="n"/>
      <c r="AH13" s="1505" t="n"/>
      <c r="AI13" s="1505" t="n"/>
      <c r="AJ13" s="1505" t="n"/>
      <c r="AK13" s="1505" t="n"/>
      <c r="AL13" s="1505" t="n"/>
      <c r="AM13" s="1505" t="n"/>
      <c r="AN13" s="1505" t="n"/>
      <c r="AO13" s="1505" t="n"/>
      <c r="AP13" s="1507">
        <f>SUM(AD13:AO13)</f>
        <v/>
      </c>
      <c r="AQ13" s="1505" t="n"/>
      <c r="AR13" s="1505" t="n"/>
      <c r="AS13" s="1505" t="n"/>
      <c r="AT13" s="1505" t="n"/>
      <c r="AU13" s="1505" t="n"/>
      <c r="AV13" s="1505" t="n"/>
      <c r="AW13" s="1505" t="n"/>
      <c r="AX13" s="1505" t="n"/>
      <c r="AY13" s="1505" t="n"/>
      <c r="AZ13" s="1505" t="n"/>
      <c r="BA13" s="1505" t="n"/>
      <c r="BB13" s="1505" t="n"/>
      <c r="BC13" s="1507">
        <f>SUM(AQ13:BB13)</f>
        <v/>
      </c>
      <c r="BD13" s="1505" t="n"/>
      <c r="BE13" s="1505" t="n"/>
      <c r="BF13" s="1505" t="n"/>
      <c r="BG13" s="1505" t="n"/>
      <c r="BH13" s="1505" t="n"/>
      <c r="BI13" s="1505" t="n"/>
      <c r="BJ13" s="1505" t="n"/>
      <c r="BK13" s="1505" t="n"/>
      <c r="BL13" s="1505" t="n"/>
      <c r="BM13" s="1505" t="n"/>
      <c r="BN13" s="1505" t="n"/>
      <c r="BO13" s="1505" t="n"/>
      <c r="BP13" s="1507">
        <f>SUM(BD13:BO13)</f>
        <v/>
      </c>
      <c r="BQ13" s="1505" t="n"/>
      <c r="BR13" s="1505" t="n"/>
      <c r="BS13" s="1505" t="n"/>
      <c r="BT13" s="1505" t="n"/>
      <c r="BU13" s="1505" t="n"/>
      <c r="BV13" s="1505" t="n"/>
      <c r="BW13" s="1505" t="n"/>
      <c r="BX13" s="1505" t="n"/>
      <c r="BY13" s="1505" t="n"/>
      <c r="BZ13" s="1505" t="n"/>
      <c r="CA13" s="1505" t="n"/>
      <c r="CB13" s="1505" t="n"/>
      <c r="CC13" s="1507">
        <f>SUM(BQ13:CB13)</f>
        <v/>
      </c>
      <c r="CD13" s="1505" t="n"/>
      <c r="CE13" s="1505" t="n"/>
      <c r="CF13" s="1505" t="n"/>
      <c r="CG13" s="1505" t="n"/>
      <c r="CH13" s="1505" t="n"/>
      <c r="CI13" s="1505" t="n"/>
      <c r="CJ13" s="1505" t="n"/>
      <c r="CK13" s="1505" t="n"/>
      <c r="CL13" s="1505" t="n"/>
      <c r="CM13" s="1505" t="n"/>
      <c r="CN13" s="1505" t="n"/>
      <c r="CO13" s="1505" t="n"/>
      <c r="CP13" s="1507">
        <f>SUM(CD13:CO13)</f>
        <v/>
      </c>
      <c r="CQ13" s="1505" t="n"/>
      <c r="CR13" s="1505" t="n"/>
      <c r="CS13" s="1505" t="n"/>
      <c r="CT13" s="1505" t="n"/>
      <c r="CU13" s="1505" t="n"/>
      <c r="CV13" s="1505" t="n"/>
      <c r="CW13" s="1505" t="n"/>
      <c r="CX13" s="1505" t="n"/>
      <c r="CY13" s="1505" t="n"/>
      <c r="CZ13" s="1505" t="n"/>
      <c r="DA13" s="1505" t="n"/>
      <c r="DB13" s="1505" t="n"/>
      <c r="DC13" s="1507">
        <f>SUM(CQ13:DB13)</f>
        <v/>
      </c>
      <c r="DD13" s="1505" t="n"/>
      <c r="DE13" s="1505" t="n"/>
      <c r="DF13" s="1505" t="n"/>
      <c r="DG13" s="1505" t="n"/>
      <c r="DH13" s="1505" t="n"/>
      <c r="DI13" s="1505" t="n"/>
      <c r="DJ13" s="1505" t="n"/>
      <c r="DK13" s="1505" t="n"/>
      <c r="DL13" s="1505" t="n"/>
      <c r="DM13" s="1505" t="n"/>
      <c r="DN13" s="1505" t="n"/>
      <c r="DO13" s="1505" t="n"/>
      <c r="DP13" s="1507">
        <f>SUM(DD13:DO13)</f>
        <v/>
      </c>
    </row>
    <row r="14">
      <c r="A14" s="714" t="n"/>
      <c r="B14" s="719" t="n"/>
      <c r="C14" s="1505" t="n"/>
      <c r="D14" s="1505" t="n"/>
      <c r="E14" s="1505" t="n"/>
      <c r="F14" s="1505" t="n"/>
      <c r="G14" s="1505" t="n"/>
      <c r="H14" s="1505" t="n"/>
      <c r="I14" s="1505" t="n"/>
      <c r="J14" s="1505" t="n"/>
      <c r="K14" s="1505" t="n"/>
      <c r="L14" s="1505" t="n"/>
      <c r="M14" s="1505" t="n"/>
      <c r="N14" s="1505" t="n"/>
      <c r="O14" s="1505" t="n"/>
      <c r="P14" s="1507">
        <f>SUM(C14:O14)</f>
        <v/>
      </c>
      <c r="Q14" s="1505" t="n"/>
      <c r="R14" s="1505" t="n"/>
      <c r="S14" s="1505" t="n"/>
      <c r="T14" s="1505" t="n"/>
      <c r="U14" s="1505" t="n"/>
      <c r="V14" s="1505" t="n"/>
      <c r="W14" s="1505" t="n"/>
      <c r="X14" s="1505" t="n"/>
      <c r="Y14" s="1505" t="n"/>
      <c r="Z14" s="1505" t="n"/>
      <c r="AA14" s="1505" t="n"/>
      <c r="AB14" s="1505" t="n"/>
      <c r="AC14" s="1507">
        <f>SUM(Q14:AB14)</f>
        <v/>
      </c>
      <c r="AD14" s="1505" t="n"/>
      <c r="AE14" s="1505" t="n"/>
      <c r="AF14" s="1505" t="n"/>
      <c r="AG14" s="1505" t="n"/>
      <c r="AH14" s="1505" t="n"/>
      <c r="AI14" s="1505" t="n"/>
      <c r="AJ14" s="1505" t="n"/>
      <c r="AK14" s="1505" t="n"/>
      <c r="AL14" s="1505" t="n"/>
      <c r="AM14" s="1505" t="n"/>
      <c r="AN14" s="1505" t="n"/>
      <c r="AO14" s="1505" t="n"/>
      <c r="AP14" s="1507">
        <f>SUM(AD14:AO14)</f>
        <v/>
      </c>
      <c r="AQ14" s="1505" t="n"/>
      <c r="AR14" s="1505" t="n"/>
      <c r="AS14" s="1505" t="n"/>
      <c r="AT14" s="1505" t="n"/>
      <c r="AU14" s="1505" t="n"/>
      <c r="AV14" s="1505" t="n"/>
      <c r="AW14" s="1505" t="n"/>
      <c r="AX14" s="1505" t="n"/>
      <c r="AY14" s="1505" t="n"/>
      <c r="AZ14" s="1505" t="n"/>
      <c r="BA14" s="1505" t="n"/>
      <c r="BB14" s="1505" t="n"/>
      <c r="BC14" s="1507">
        <f>SUM(AQ14:BB14)</f>
        <v/>
      </c>
      <c r="BD14" s="1505" t="n"/>
      <c r="BE14" s="1505" t="n"/>
      <c r="BF14" s="1505" t="n"/>
      <c r="BG14" s="1505" t="n"/>
      <c r="BH14" s="1505" t="n"/>
      <c r="BI14" s="1505" t="n"/>
      <c r="BJ14" s="1505" t="n"/>
      <c r="BK14" s="1505" t="n"/>
      <c r="BL14" s="1505" t="n"/>
      <c r="BM14" s="1505" t="n"/>
      <c r="BN14" s="1505" t="n"/>
      <c r="BO14" s="1505" t="n"/>
      <c r="BP14" s="1507">
        <f>SUM(BD14:BO14)</f>
        <v/>
      </c>
      <c r="BQ14" s="1505" t="n"/>
      <c r="BR14" s="1505" t="n"/>
      <c r="BS14" s="1505" t="n"/>
      <c r="BT14" s="1505" t="n"/>
      <c r="BU14" s="1505" t="n"/>
      <c r="BV14" s="1505" t="n"/>
      <c r="BW14" s="1505" t="n"/>
      <c r="BX14" s="1505" t="n"/>
      <c r="BY14" s="1505" t="n"/>
      <c r="BZ14" s="1505" t="n"/>
      <c r="CA14" s="1505" t="n"/>
      <c r="CB14" s="1505" t="n"/>
      <c r="CC14" s="1507">
        <f>SUM(BQ14:CB14)</f>
        <v/>
      </c>
      <c r="CD14" s="1505" t="n"/>
      <c r="CE14" s="1505" t="n"/>
      <c r="CF14" s="1505" t="n"/>
      <c r="CG14" s="1505" t="n"/>
      <c r="CH14" s="1505" t="n"/>
      <c r="CI14" s="1505" t="n"/>
      <c r="CJ14" s="1505" t="n"/>
      <c r="CK14" s="1505" t="n"/>
      <c r="CL14" s="1505" t="n"/>
      <c r="CM14" s="1505" t="n"/>
      <c r="CN14" s="1505" t="n"/>
      <c r="CO14" s="1505" t="n"/>
      <c r="CP14" s="1507">
        <f>SUM(CD14:CO14)</f>
        <v/>
      </c>
      <c r="CQ14" s="1505" t="n"/>
      <c r="CR14" s="1505" t="n"/>
      <c r="CS14" s="1505" t="n"/>
      <c r="CT14" s="1505" t="n"/>
      <c r="CU14" s="1505" t="n"/>
      <c r="CV14" s="1505" t="n"/>
      <c r="CW14" s="1505" t="n"/>
      <c r="CX14" s="1505" t="n"/>
      <c r="CY14" s="1505" t="n"/>
      <c r="CZ14" s="1505" t="n"/>
      <c r="DA14" s="1505" t="n"/>
      <c r="DB14" s="1505" t="n"/>
      <c r="DC14" s="1507">
        <f>SUM(CQ14:DB14)</f>
        <v/>
      </c>
      <c r="DD14" s="1505" t="n"/>
      <c r="DE14" s="1505" t="n"/>
      <c r="DF14" s="1505" t="n"/>
      <c r="DG14" s="1505" t="n"/>
      <c r="DH14" s="1505" t="n"/>
      <c r="DI14" s="1505" t="n"/>
      <c r="DJ14" s="1505" t="n"/>
      <c r="DK14" s="1505" t="n"/>
      <c r="DL14" s="1505" t="n"/>
      <c r="DM14" s="1505" t="n"/>
      <c r="DN14" s="1505" t="n"/>
      <c r="DO14" s="1505" t="n"/>
      <c r="DP14" s="1507">
        <f>SUM(DD14:DO14)</f>
        <v/>
      </c>
    </row>
    <row r="15">
      <c r="B15" s="720" t="n"/>
      <c r="C15" s="1550">
        <f>SUM(C8:C14)</f>
        <v/>
      </c>
      <c r="D15" s="1550">
        <f>SUM(D8:D14)</f>
        <v/>
      </c>
      <c r="E15" s="1550">
        <f>SUM(E8:E14)</f>
        <v/>
      </c>
      <c r="F15" s="1550">
        <f>SUM(F8:F14)</f>
        <v/>
      </c>
      <c r="G15" s="1550">
        <f>SUM(G8:G14)</f>
        <v/>
      </c>
      <c r="H15" s="1550">
        <f>SUM(H8:H14)</f>
        <v/>
      </c>
      <c r="I15" s="1550">
        <f>SUM(I8:I14)</f>
        <v/>
      </c>
      <c r="J15" s="1550">
        <f>SUM(J8:J14)</f>
        <v/>
      </c>
      <c r="K15" s="1550">
        <f>SUM(K8:K14)</f>
        <v/>
      </c>
      <c r="L15" s="1550">
        <f>SUM(L8:L14)</f>
        <v/>
      </c>
      <c r="M15" s="1550">
        <f>SUM(M8:M14)</f>
        <v/>
      </c>
      <c r="N15" s="1550">
        <f>SUM(N8:N14)</f>
        <v/>
      </c>
      <c r="O15" s="1550">
        <f>SUM(O8:O14)</f>
        <v/>
      </c>
      <c r="P15" s="1507">
        <f>SUM(C15:O15)</f>
        <v/>
      </c>
      <c r="Q15" s="1550">
        <f>SUM(Q8:Q14)</f>
        <v/>
      </c>
      <c r="R15" s="1550">
        <f>SUM(R8:R14)</f>
        <v/>
      </c>
      <c r="S15" s="1550">
        <f>SUM(S8:S14)</f>
        <v/>
      </c>
      <c r="T15" s="1550">
        <f>SUM(T8:T14)</f>
        <v/>
      </c>
      <c r="U15" s="1550">
        <f>SUM(U8:U14)</f>
        <v/>
      </c>
      <c r="V15" s="1550">
        <f>SUM(V8:V14)</f>
        <v/>
      </c>
      <c r="W15" s="1550">
        <f>SUM(W8:W14)</f>
        <v/>
      </c>
      <c r="X15" s="1550">
        <f>SUM(X8:X14)</f>
        <v/>
      </c>
      <c r="Y15" s="1550">
        <f>SUM(Y8:Y14)</f>
        <v/>
      </c>
      <c r="Z15" s="1550">
        <f>SUM(Z8:Z14)</f>
        <v/>
      </c>
      <c r="AA15" s="1550">
        <f>SUM(AA8:AA14)</f>
        <v/>
      </c>
      <c r="AB15" s="1550">
        <f>SUM(AB8:AB14)</f>
        <v/>
      </c>
      <c r="AC15" s="1507">
        <f>SUM(Q15:AB15)</f>
        <v/>
      </c>
      <c r="AD15" s="1550">
        <f>SUM(AD8:AD14)</f>
        <v/>
      </c>
      <c r="AE15" s="1550">
        <f>SUM(AE8:AE14)</f>
        <v/>
      </c>
      <c r="AF15" s="1550">
        <f>SUM(AF8:AF14)</f>
        <v/>
      </c>
      <c r="AG15" s="1550">
        <f>SUM(AG8:AG14)</f>
        <v/>
      </c>
      <c r="AH15" s="1550">
        <f>SUM(AH8:AH14)</f>
        <v/>
      </c>
      <c r="AI15" s="1550">
        <f>SUM(AI8:AI14)</f>
        <v/>
      </c>
      <c r="AJ15" s="1550">
        <f>SUM(AJ8:AJ14)</f>
        <v/>
      </c>
      <c r="AK15" s="1550">
        <f>SUM(AK8:AK14)</f>
        <v/>
      </c>
      <c r="AL15" s="1550">
        <f>SUM(AL8:AL14)</f>
        <v/>
      </c>
      <c r="AM15" s="1550">
        <f>SUM(AM8:AM14)</f>
        <v/>
      </c>
      <c r="AN15" s="1550">
        <f>SUM(AN8:AN14)</f>
        <v/>
      </c>
      <c r="AO15" s="1550">
        <f>SUM(AO8:AO14)</f>
        <v/>
      </c>
      <c r="AP15" s="1507">
        <f>SUM(AD15:AO15)</f>
        <v/>
      </c>
      <c r="AQ15" s="1550">
        <f>SUM(AQ8:AQ14)</f>
        <v/>
      </c>
      <c r="AR15" s="1550">
        <f>SUM(AR8:AR14)</f>
        <v/>
      </c>
      <c r="AS15" s="1550">
        <f>SUM(AS8:AS14)</f>
        <v/>
      </c>
      <c r="AT15" s="1550">
        <f>SUM(AT8:AT14)</f>
        <v/>
      </c>
      <c r="AU15" s="1550">
        <f>SUM(AU8:AU14)</f>
        <v/>
      </c>
      <c r="AV15" s="1550">
        <f>SUM(AV8:AV14)</f>
        <v/>
      </c>
      <c r="AW15" s="1550">
        <f>SUM(AW8:AW14)</f>
        <v/>
      </c>
      <c r="AX15" s="1550">
        <f>SUM(AX8:AX14)</f>
        <v/>
      </c>
      <c r="AY15" s="1550">
        <f>SUM(AY8:AY14)</f>
        <v/>
      </c>
      <c r="AZ15" s="1550">
        <f>SUM(AZ8:AZ14)</f>
        <v/>
      </c>
      <c r="BA15" s="1550">
        <f>SUM(BA8:BA14)</f>
        <v/>
      </c>
      <c r="BB15" s="1550">
        <f>SUM(BB8:BB14)</f>
        <v/>
      </c>
      <c r="BC15" s="1507">
        <f>SUM(AQ15:BB15)</f>
        <v/>
      </c>
      <c r="BD15" s="1550">
        <f>SUM(BD8:BD14)</f>
        <v/>
      </c>
      <c r="BE15" s="1550">
        <f>SUM(BE8:BE14)</f>
        <v/>
      </c>
      <c r="BF15" s="1550">
        <f>SUM(BF8:BF14)</f>
        <v/>
      </c>
      <c r="BG15" s="1550">
        <f>SUM(BG8:BG14)</f>
        <v/>
      </c>
      <c r="BH15" s="1550">
        <f>SUM(BH8:BH14)</f>
        <v/>
      </c>
      <c r="BI15" s="1550">
        <f>SUM(BI8:BI14)</f>
        <v/>
      </c>
      <c r="BJ15" s="1550">
        <f>SUM(BJ8:BJ14)</f>
        <v/>
      </c>
      <c r="BK15" s="1550">
        <f>SUM(BK8:BK14)</f>
        <v/>
      </c>
      <c r="BL15" s="1550">
        <f>SUM(BL8:BL14)</f>
        <v/>
      </c>
      <c r="BM15" s="1550">
        <f>SUM(BM8:BM14)</f>
        <v/>
      </c>
      <c r="BN15" s="1550">
        <f>SUM(BN8:BN14)</f>
        <v/>
      </c>
      <c r="BO15" s="1550">
        <f>SUM(BO8:BO14)</f>
        <v/>
      </c>
      <c r="BP15" s="1507">
        <f>SUM(BD15:BO15)</f>
        <v/>
      </c>
      <c r="BQ15" s="1550">
        <f>SUM(BQ8:BQ14)</f>
        <v/>
      </c>
      <c r="BR15" s="1550">
        <f>SUM(BR8:BR14)</f>
        <v/>
      </c>
      <c r="BS15" s="1550">
        <f>SUM(BS8:BS14)</f>
        <v/>
      </c>
      <c r="BT15" s="1550">
        <f>SUM(BT8:BT14)</f>
        <v/>
      </c>
      <c r="BU15" s="1550">
        <f>SUM(BU8:BU14)</f>
        <v/>
      </c>
      <c r="BV15" s="1550">
        <f>SUM(BV8:BV14)</f>
        <v/>
      </c>
      <c r="BW15" s="1550">
        <f>SUM(BW8:BW14)</f>
        <v/>
      </c>
      <c r="BX15" s="1550">
        <f>SUM(BX8:BX14)</f>
        <v/>
      </c>
      <c r="BY15" s="1550">
        <f>SUM(BY8:BY14)</f>
        <v/>
      </c>
      <c r="BZ15" s="1550">
        <f>SUM(BZ8:BZ14)</f>
        <v/>
      </c>
      <c r="CA15" s="1550">
        <f>SUM(CA8:CA14)</f>
        <v/>
      </c>
      <c r="CB15" s="1550">
        <f>SUM(CB8:CB14)</f>
        <v/>
      </c>
      <c r="CC15" s="1507">
        <f>SUM(BQ15:CB15)</f>
        <v/>
      </c>
      <c r="CD15" s="1550">
        <f>SUM(CD8:CD14)</f>
        <v/>
      </c>
      <c r="CE15" s="1550">
        <f>SUM(CE8:CE14)</f>
        <v/>
      </c>
      <c r="CF15" s="1550">
        <f>SUM(CF8:CF14)</f>
        <v/>
      </c>
      <c r="CG15" s="1550">
        <f>SUM(CG8:CG14)</f>
        <v/>
      </c>
      <c r="CH15" s="1550">
        <f>SUM(CH8:CH14)</f>
        <v/>
      </c>
      <c r="CI15" s="1550">
        <f>SUM(CI8:CI14)</f>
        <v/>
      </c>
      <c r="CJ15" s="1550">
        <f>SUM(CJ8:CJ14)</f>
        <v/>
      </c>
      <c r="CK15" s="1550">
        <f>SUM(CK8:CK14)</f>
        <v/>
      </c>
      <c r="CL15" s="1550">
        <f>SUM(CL8:CL14)</f>
        <v/>
      </c>
      <c r="CM15" s="1550">
        <f>SUM(CM8:CM14)</f>
        <v/>
      </c>
      <c r="CN15" s="1550">
        <f>SUM(CN8:CN14)</f>
        <v/>
      </c>
      <c r="CO15" s="1550">
        <f>SUM(CO8:CO14)</f>
        <v/>
      </c>
      <c r="CP15" s="1507">
        <f>SUM(CD15:CO15)</f>
        <v/>
      </c>
      <c r="CQ15" s="1550">
        <f>SUM(CQ8:CQ14)</f>
        <v/>
      </c>
      <c r="CR15" s="1550">
        <f>SUM(CR8:CR14)</f>
        <v/>
      </c>
      <c r="CS15" s="1550">
        <f>SUM(CS8:CS14)</f>
        <v/>
      </c>
      <c r="CT15" s="1550">
        <f>SUM(CT8:CT14)</f>
        <v/>
      </c>
      <c r="CU15" s="1550">
        <f>SUM(CU8:CU14)</f>
        <v/>
      </c>
      <c r="CV15" s="1550">
        <f>SUM(CV8:CV14)</f>
        <v/>
      </c>
      <c r="CW15" s="1550">
        <f>SUM(CW8:CW14)</f>
        <v/>
      </c>
      <c r="CX15" s="1550">
        <f>SUM(CX8:CX14)</f>
        <v/>
      </c>
      <c r="CY15" s="1550">
        <f>SUM(CY8:CY14)</f>
        <v/>
      </c>
      <c r="CZ15" s="1550">
        <f>SUM(CZ8:CZ14)</f>
        <v/>
      </c>
      <c r="DA15" s="1550">
        <f>SUM(DA8:DA14)</f>
        <v/>
      </c>
      <c r="DB15" s="1550">
        <f>SUM(DB8:DB14)</f>
        <v/>
      </c>
      <c r="DC15" s="1507">
        <f>SUM(CQ15:DB15)</f>
        <v/>
      </c>
      <c r="DD15" s="1550">
        <f>SUM(DD8:DD14)</f>
        <v/>
      </c>
      <c r="DE15" s="1550">
        <f>SUM(DE8:DE14)</f>
        <v/>
      </c>
      <c r="DF15" s="1550">
        <f>SUM(DF8:DF14)</f>
        <v/>
      </c>
      <c r="DG15" s="1550">
        <f>SUM(DG8:DG14)</f>
        <v/>
      </c>
      <c r="DH15" s="1550">
        <f>SUM(DH8:DH14)</f>
        <v/>
      </c>
      <c r="DI15" s="1550">
        <f>SUM(DI8:DI14)</f>
        <v/>
      </c>
      <c r="DJ15" s="1550">
        <f>SUM(DJ8:DJ14)</f>
        <v/>
      </c>
      <c r="DK15" s="1550">
        <f>SUM(DK8:DK14)</f>
        <v/>
      </c>
      <c r="DL15" s="1550">
        <f>SUM(DL8:DL14)</f>
        <v/>
      </c>
      <c r="DM15" s="1550">
        <f>SUM(DM8:DM14)</f>
        <v/>
      </c>
      <c r="DN15" s="1550">
        <f>SUM(DN8:DN14)</f>
        <v/>
      </c>
      <c r="DO15" s="1550">
        <f>SUM(DO8:DO14)</f>
        <v/>
      </c>
      <c r="DP15" s="1507">
        <f>SUM(DD15:DO15)</f>
        <v/>
      </c>
      <c r="DS15" s="1508" t="n"/>
    </row>
    <row r="16">
      <c r="C16" s="1508" t="n"/>
      <c r="D16" s="1508" t="n"/>
      <c r="E16" s="1508" t="n"/>
      <c r="F16" s="1508" t="n"/>
      <c r="G16" s="1508" t="n"/>
      <c r="H16" s="1508" t="n"/>
      <c r="I16" s="1508" t="n"/>
      <c r="J16" s="1508" t="n"/>
      <c r="K16" s="1508" t="n"/>
      <c r="L16" s="1508" t="n"/>
      <c r="M16" s="1508" t="n"/>
      <c r="N16" s="1508" t="n"/>
      <c r="O16" s="1508" t="n"/>
      <c r="P16" s="1508" t="n"/>
      <c r="Q16" s="1508" t="n"/>
      <c r="R16" s="1508" t="n"/>
      <c r="S16" s="1508" t="n"/>
      <c r="T16" s="1508" t="n"/>
      <c r="U16" s="1508" t="n"/>
      <c r="V16" s="1508" t="n"/>
      <c r="W16" s="1508" t="n"/>
      <c r="X16" s="1508" t="n"/>
      <c r="Y16" s="1508" t="n"/>
      <c r="Z16" s="1508" t="n"/>
      <c r="AA16" s="1508" t="n"/>
      <c r="AB16" s="1508" t="n"/>
      <c r="AC16" s="1508" t="n"/>
      <c r="AD16" s="1508" t="n"/>
      <c r="AE16" s="1508" t="n"/>
      <c r="AF16" s="1508" t="n"/>
      <c r="AG16" s="1508" t="n"/>
      <c r="AH16" s="1508" t="n"/>
      <c r="AI16" s="1508" t="n"/>
      <c r="AJ16" s="1508" t="n"/>
      <c r="AK16" s="1508" t="n"/>
      <c r="AL16" s="1508" t="n"/>
      <c r="AM16" s="1508" t="n"/>
      <c r="AN16" s="1508" t="n"/>
      <c r="AO16" s="1508" t="n"/>
      <c r="AP16" s="1508" t="n"/>
      <c r="AQ16" s="1508" t="n"/>
      <c r="AR16" s="1508" t="n"/>
      <c r="AS16" s="1508" t="n"/>
      <c r="AT16" s="1508" t="n"/>
      <c r="AU16" s="1508" t="n"/>
      <c r="AV16" s="1508" t="n"/>
      <c r="AW16" s="1508" t="n"/>
      <c r="AX16" s="1508" t="n"/>
      <c r="AY16" s="1508" t="n"/>
      <c r="AZ16" s="1508" t="n"/>
      <c r="BA16" s="1508" t="n"/>
      <c r="BB16" s="1508" t="n"/>
      <c r="BC16" s="1508" t="n"/>
      <c r="BD16" s="1508" t="n"/>
      <c r="BE16" s="1508" t="n"/>
      <c r="BF16" s="1508" t="n"/>
      <c r="BG16" s="1508" t="n"/>
      <c r="BH16" s="1508" t="n"/>
      <c r="BI16" s="1508" t="n"/>
      <c r="BJ16" s="1508" t="n"/>
      <c r="BK16" s="1508" t="n"/>
      <c r="BL16" s="1508" t="n"/>
      <c r="BM16" s="1508" t="n"/>
      <c r="BN16" s="1508" t="n"/>
      <c r="BO16" s="1508" t="n"/>
      <c r="BP16" s="1508" t="n"/>
      <c r="BQ16" s="1508" t="n"/>
      <c r="BR16" s="1508" t="n"/>
      <c r="BS16" s="1508" t="n"/>
      <c r="BT16" s="1508" t="n"/>
      <c r="BU16" s="1508" t="n"/>
      <c r="BV16" s="1508" t="n"/>
      <c r="BW16" s="1508" t="n"/>
      <c r="BX16" s="1508" t="n"/>
      <c r="BY16" s="1508" t="n"/>
      <c r="BZ16" s="1508" t="n"/>
      <c r="CA16" s="1508" t="n"/>
      <c r="CB16" s="1508" t="n"/>
      <c r="CC16" s="1508" t="n"/>
      <c r="CD16" s="1508" t="n"/>
      <c r="CE16" s="1508" t="n"/>
      <c r="CF16" s="1508" t="n"/>
      <c r="CG16" s="1508" t="n"/>
      <c r="CH16" s="1508" t="n"/>
      <c r="CI16" s="1508" t="n"/>
      <c r="CJ16" s="1508" t="n"/>
      <c r="CK16" s="1508" t="n"/>
      <c r="CL16" s="1508" t="n"/>
      <c r="CM16" s="1508" t="n"/>
      <c r="CN16" s="1508" t="n"/>
      <c r="CO16" s="1508" t="n"/>
      <c r="CP16" s="1508" t="n"/>
      <c r="CQ16" s="1508" t="n"/>
      <c r="CR16" s="1508" t="n"/>
      <c r="CS16" s="1508" t="n"/>
      <c r="CT16" s="1508" t="n"/>
      <c r="CU16" s="1508" t="n"/>
      <c r="CV16" s="1508" t="n"/>
      <c r="CW16" s="1508" t="n"/>
      <c r="CX16" s="1508" t="n"/>
      <c r="CY16" s="1508" t="n"/>
      <c r="CZ16" s="1508" t="n"/>
      <c r="DA16" s="1508" t="n"/>
      <c r="DB16" s="1508" t="n"/>
      <c r="DC16" s="1508" t="n"/>
      <c r="DD16" s="1508" t="n"/>
      <c r="DE16" s="1508" t="n"/>
      <c r="DF16" s="1508" t="n"/>
      <c r="DG16" s="1508" t="n"/>
      <c r="DH16" s="1508" t="n"/>
      <c r="DI16" s="1508" t="n"/>
      <c r="DJ16" s="1508" t="n"/>
      <c r="DK16" s="1508" t="n"/>
      <c r="DL16" s="1508" t="n"/>
      <c r="DM16" s="1508" t="n"/>
      <c r="DN16" s="1508" t="n"/>
      <c r="DO16" s="1508" t="n"/>
      <c r="DP16" s="1508" t="n"/>
    </row>
    <row r="17" ht="15.75" customHeight="1" thickBot="1">
      <c r="B17" s="712" t="n"/>
      <c r="C17" s="727" t="n"/>
      <c r="D17" s="727" t="n"/>
      <c r="E17" s="727" t="n"/>
      <c r="F17" s="727" t="n"/>
      <c r="G17" s="727" t="n"/>
      <c r="H17" s="727" t="n"/>
      <c r="I17" s="727" t="n"/>
      <c r="J17" s="727" t="n"/>
      <c r="K17" s="727" t="n"/>
      <c r="L17" s="727" t="n"/>
      <c r="M17" s="727" t="n"/>
      <c r="N17" s="727" t="n"/>
      <c r="O17" s="727" t="n"/>
      <c r="P17" s="1551" t="n"/>
      <c r="Q17" s="727" t="n"/>
      <c r="R17" s="727" t="n"/>
      <c r="S17" s="727" t="n"/>
      <c r="T17" s="727" t="n"/>
      <c r="U17" s="727" t="n"/>
      <c r="V17" s="727" t="n"/>
      <c r="W17" s="727" t="n"/>
      <c r="X17" s="727" t="n"/>
      <c r="Y17" s="727" t="n"/>
      <c r="Z17" s="727" t="n"/>
      <c r="AA17" s="727" t="n"/>
      <c r="AB17" s="727" t="n"/>
      <c r="AC17" s="727" t="n"/>
      <c r="AD17" s="727" t="n"/>
      <c r="AE17" s="727" t="n"/>
      <c r="AF17" s="727" t="n"/>
      <c r="AG17" s="727" t="n"/>
      <c r="AH17" s="727" t="n"/>
      <c r="AI17" s="727" t="n"/>
      <c r="AJ17" s="727" t="n"/>
      <c r="AK17" s="727" t="n"/>
      <c r="AL17" s="727" t="n"/>
      <c r="AM17" s="727" t="n"/>
      <c r="AN17" s="727" t="n"/>
      <c r="AO17" s="727" t="n"/>
      <c r="AP17" s="727" t="n"/>
      <c r="AQ17" s="727" t="n"/>
      <c r="AR17" s="727" t="n"/>
      <c r="AS17" s="727" t="n"/>
      <c r="AT17" s="727" t="n"/>
      <c r="AU17" s="727" t="n"/>
      <c r="AV17" s="727" t="n"/>
      <c r="AW17" s="727" t="n"/>
      <c r="AX17" s="727" t="n"/>
      <c r="AY17" s="727" t="n"/>
      <c r="AZ17" s="727" t="n"/>
      <c r="BA17" s="727" t="n"/>
      <c r="BB17" s="727" t="n"/>
      <c r="BC17" s="727" t="n"/>
      <c r="BD17" s="727" t="n"/>
      <c r="BE17" s="727" t="n"/>
      <c r="BF17" s="727" t="n"/>
      <c r="BG17" s="727" t="n"/>
      <c r="BH17" s="727" t="n"/>
      <c r="BI17" s="727" t="n"/>
      <c r="BJ17" s="727" t="n"/>
      <c r="BK17" s="727" t="n"/>
      <c r="BL17" s="727" t="n"/>
      <c r="BM17" s="727" t="n"/>
      <c r="BN17" s="727" t="n"/>
      <c r="BO17" s="727" t="n"/>
      <c r="BP17" s="727" t="n"/>
      <c r="BQ17" s="727" t="n"/>
      <c r="BR17" s="727" t="n"/>
      <c r="BS17" s="727" t="n"/>
      <c r="BT17" s="727" t="n"/>
      <c r="BU17" s="727" t="n"/>
      <c r="BV17" s="727" t="n"/>
      <c r="BW17" s="727" t="n"/>
      <c r="BX17" s="727" t="n"/>
      <c r="BY17" s="727" t="n"/>
      <c r="BZ17" s="727" t="n"/>
      <c r="CA17" s="727" t="n"/>
      <c r="CB17" s="727" t="n"/>
      <c r="CC17" s="727" t="n"/>
      <c r="CD17" s="727" t="n"/>
      <c r="CE17" s="727" t="n"/>
      <c r="CF17" s="727" t="n"/>
      <c r="CG17" s="727" t="n"/>
      <c r="CH17" s="727" t="n"/>
      <c r="CI17" s="727" t="n"/>
      <c r="CJ17" s="727" t="n"/>
      <c r="CK17" s="727" t="n"/>
      <c r="CL17" s="727" t="n"/>
      <c r="CM17" s="727" t="n"/>
      <c r="CN17" s="727" t="n"/>
      <c r="CO17" s="727" t="n"/>
      <c r="CP17" s="727" t="n"/>
      <c r="CQ17" s="727" t="n"/>
      <c r="CR17" s="727" t="n"/>
      <c r="CS17" s="727" t="n"/>
      <c r="CT17" s="727" t="n"/>
      <c r="CU17" s="727" t="n"/>
      <c r="CV17" s="727" t="n"/>
      <c r="CW17" s="727" t="n"/>
      <c r="CX17" s="727" t="n"/>
      <c r="CY17" s="727" t="n"/>
      <c r="CZ17" s="727" t="n"/>
      <c r="DA17" s="727" t="n"/>
      <c r="DB17" s="727" t="n"/>
      <c r="DC17" s="727" t="n"/>
      <c r="DD17" s="727" t="n"/>
      <c r="DE17" s="727" t="n"/>
      <c r="DF17" s="727" t="n"/>
      <c r="DG17" s="727" t="n"/>
      <c r="DH17" s="727" t="n"/>
      <c r="DI17" s="727" t="n"/>
      <c r="DJ17" s="727" t="n"/>
      <c r="DK17" s="727" t="n"/>
      <c r="DL17" s="727" t="n"/>
      <c r="DM17" s="727" t="n"/>
      <c r="DN17" s="727" t="n"/>
      <c r="DO17" s="727" t="n"/>
      <c r="DP17" s="727" t="n"/>
    </row>
    <row r="18" ht="15.75" customHeight="1" thickTop="1">
      <c r="A18" s="714" t="n"/>
      <c r="B18" s="715" t="n"/>
      <c r="C18" s="1505" t="n"/>
      <c r="D18" s="1505" t="n"/>
      <c r="E18" s="1505" t="n"/>
      <c r="F18" s="1505" t="n"/>
      <c r="G18" s="1505" t="n"/>
      <c r="H18" s="1505" t="n"/>
      <c r="I18" s="1505" t="n"/>
      <c r="J18" s="1505" t="n"/>
      <c r="K18" s="1505" t="n"/>
      <c r="L18" s="1505" t="n"/>
      <c r="M18" s="1505" t="n"/>
      <c r="N18" s="1505" t="n"/>
      <c r="O18" s="1505" t="n"/>
      <c r="P18" s="1507">
        <f>SUM(C18:O18)</f>
        <v/>
      </c>
      <c r="Q18" s="1505" t="n"/>
      <c r="R18" s="1505" t="n"/>
      <c r="S18" s="1505" t="n"/>
      <c r="T18" s="1505" t="n"/>
      <c r="U18" s="1505" t="n"/>
      <c r="V18" s="1505" t="n"/>
      <c r="W18" s="1505" t="n"/>
      <c r="X18" s="1505" t="n"/>
      <c r="Y18" s="1505" t="n"/>
      <c r="Z18" s="1505" t="n"/>
      <c r="AA18" s="1505" t="n"/>
      <c r="AB18" s="1505" t="n"/>
      <c r="AC18" s="1507">
        <f>SUM(Q18:AB18)</f>
        <v/>
      </c>
      <c r="AD18" s="1505" t="n"/>
      <c r="AE18" s="1505" t="n"/>
      <c r="AF18" s="1505" t="n"/>
      <c r="AG18" s="1505" t="n"/>
      <c r="AH18" s="1505" t="n"/>
      <c r="AI18" s="1505" t="n"/>
      <c r="AJ18" s="1505" t="n"/>
      <c r="AK18" s="1505" t="n"/>
      <c r="AL18" s="1505" t="n"/>
      <c r="AM18" s="1505" t="n"/>
      <c r="AN18" s="1505" t="n"/>
      <c r="AO18" s="1505" t="n"/>
      <c r="AP18" s="1507">
        <f>SUM(AD18:AO18)</f>
        <v/>
      </c>
      <c r="AQ18" s="1505" t="n"/>
      <c r="AR18" s="1505" t="n"/>
      <c r="AS18" s="1505" t="n"/>
      <c r="AT18" s="1505" t="n"/>
      <c r="AU18" s="1505" t="n"/>
      <c r="AV18" s="1505" t="n"/>
      <c r="AW18" s="1505" t="n"/>
      <c r="AX18" s="1505" t="n"/>
      <c r="AY18" s="1505" t="n"/>
      <c r="AZ18" s="1505" t="n"/>
      <c r="BA18" s="1505" t="n"/>
      <c r="BB18" s="1505" t="n"/>
      <c r="BC18" s="1507">
        <f>SUM(AQ18:BB18)</f>
        <v/>
      </c>
      <c r="BD18" s="1505" t="n"/>
      <c r="BE18" s="1505" t="n"/>
      <c r="BF18" s="1505" t="n"/>
      <c r="BG18" s="1505" t="n"/>
      <c r="BH18" s="1505" t="n"/>
      <c r="BI18" s="1505" t="n"/>
      <c r="BJ18" s="1505" t="n"/>
      <c r="BK18" s="1505" t="n"/>
      <c r="BL18" s="1505" t="n"/>
      <c r="BM18" s="1505" t="n"/>
      <c r="BN18" s="1505" t="n"/>
      <c r="BO18" s="1505" t="n"/>
      <c r="BP18" s="1507">
        <f>SUM(BD18:BO18)</f>
        <v/>
      </c>
      <c r="BQ18" s="1505" t="n"/>
      <c r="BR18" s="1505" t="n"/>
      <c r="BS18" s="1505" t="n"/>
      <c r="BT18" s="1505" t="n"/>
      <c r="BU18" s="1505" t="n"/>
      <c r="BV18" s="1505" t="n"/>
      <c r="BW18" s="1505" t="n"/>
      <c r="BX18" s="1505" t="n"/>
      <c r="BY18" s="1505" t="n"/>
      <c r="BZ18" s="1505" t="n"/>
      <c r="CA18" s="1505" t="n"/>
      <c r="CB18" s="1505" t="n"/>
      <c r="CC18" s="1507">
        <f>SUM(BQ18:CB18)</f>
        <v/>
      </c>
      <c r="CD18" s="1505" t="n"/>
      <c r="CE18" s="1505" t="n"/>
      <c r="CF18" s="1505" t="n"/>
      <c r="CG18" s="1505" t="n"/>
      <c r="CH18" s="1505" t="n"/>
      <c r="CI18" s="1505" t="n"/>
      <c r="CJ18" s="1505" t="n"/>
      <c r="CK18" s="1505" t="n"/>
      <c r="CL18" s="1505" t="n"/>
      <c r="CM18" s="1505" t="n"/>
      <c r="CN18" s="1505" t="n"/>
      <c r="CO18" s="1505" t="n"/>
      <c r="CP18" s="1507">
        <f>SUM(CD18:CO18)</f>
        <v/>
      </c>
      <c r="CQ18" s="1505" t="n"/>
      <c r="CR18" s="1505" t="n"/>
      <c r="CS18" s="1505" t="n"/>
      <c r="CT18" s="1505" t="n"/>
      <c r="CU18" s="1505" t="n"/>
      <c r="CV18" s="1505" t="n"/>
      <c r="CW18" s="1505" t="n"/>
      <c r="CX18" s="1505" t="n"/>
      <c r="CY18" s="1505" t="n"/>
      <c r="CZ18" s="1505" t="n"/>
      <c r="DA18" s="1505" t="n"/>
      <c r="DB18" s="1505" t="n"/>
      <c r="DC18" s="1507">
        <f>SUM(CQ18:DB18)</f>
        <v/>
      </c>
      <c r="DD18" s="1505" t="n"/>
      <c r="DE18" s="1505" t="n"/>
      <c r="DF18" s="1505" t="n"/>
      <c r="DG18" s="1505" t="n"/>
      <c r="DH18" s="1505" t="n"/>
      <c r="DI18" s="1505" t="n"/>
      <c r="DJ18" s="1505" t="n"/>
      <c r="DK18" s="1505" t="n"/>
      <c r="DL18" s="1505" t="n"/>
      <c r="DM18" s="1505" t="n"/>
      <c r="DN18" s="1505" t="n"/>
      <c r="DO18" s="1505" t="n"/>
      <c r="DP18" s="1507">
        <f>SUM(DD18:DO18)</f>
        <v/>
      </c>
    </row>
    <row r="19">
      <c r="A19" s="714" t="n"/>
      <c r="B19" s="719" t="n"/>
      <c r="C19" s="1505" t="n"/>
      <c r="D19" s="1505" t="n"/>
      <c r="E19" s="1505" t="n"/>
      <c r="F19" s="1505" t="n"/>
      <c r="G19" s="1505" t="n"/>
      <c r="H19" s="1505" t="n"/>
      <c r="I19" s="1505" t="n"/>
      <c r="J19" s="1505" t="n"/>
      <c r="K19" s="1505" t="n"/>
      <c r="L19" s="1505" t="n"/>
      <c r="M19" s="1505" t="n"/>
      <c r="N19" s="1505" t="n"/>
      <c r="O19" s="1505" t="n"/>
      <c r="P19" s="1507">
        <f>SUM(C19:O19)</f>
        <v/>
      </c>
      <c r="Q19" s="1505" t="n"/>
      <c r="R19" s="1505" t="n"/>
      <c r="S19" s="1505" t="n"/>
      <c r="T19" s="1505" t="n"/>
      <c r="U19" s="1505" t="n"/>
      <c r="V19" s="1505" t="n"/>
      <c r="W19" s="1505" t="n"/>
      <c r="X19" s="1505" t="n"/>
      <c r="Y19" s="1505" t="n"/>
      <c r="Z19" s="1505" t="n"/>
      <c r="AA19" s="1505" t="n"/>
      <c r="AB19" s="1505" t="n"/>
      <c r="AC19" s="1507">
        <f>SUM(Q19:AB19)</f>
        <v/>
      </c>
      <c r="AD19" s="1505" t="n"/>
      <c r="AE19" s="1505" t="n"/>
      <c r="AF19" s="1505" t="n"/>
      <c r="AG19" s="1505" t="n"/>
      <c r="AH19" s="1505" t="n"/>
      <c r="AI19" s="1505" t="n"/>
      <c r="AJ19" s="1505" t="n"/>
      <c r="AK19" s="1505" t="n"/>
      <c r="AL19" s="1505" t="n"/>
      <c r="AM19" s="1505" t="n"/>
      <c r="AN19" s="1505" t="n"/>
      <c r="AO19" s="1505" t="n"/>
      <c r="AP19" s="1507">
        <f>SUM(AD19:AO19)</f>
        <v/>
      </c>
      <c r="AQ19" s="1505" t="n"/>
      <c r="AR19" s="1505" t="n"/>
      <c r="AS19" s="1505" t="n"/>
      <c r="AT19" s="1505" t="n"/>
      <c r="AU19" s="1505" t="n"/>
      <c r="AV19" s="1505" t="n"/>
      <c r="AW19" s="1505" t="n"/>
      <c r="AX19" s="1505" t="n"/>
      <c r="AY19" s="1505" t="n"/>
      <c r="AZ19" s="1505" t="n"/>
      <c r="BA19" s="1505" t="n"/>
      <c r="BB19" s="1505" t="n"/>
      <c r="BC19" s="1507">
        <f>SUM(AQ19:BB19)</f>
        <v/>
      </c>
      <c r="BD19" s="1505" t="n"/>
      <c r="BE19" s="1505" t="n"/>
      <c r="BF19" s="1505" t="n"/>
      <c r="BG19" s="1505" t="n"/>
      <c r="BH19" s="1505" t="n"/>
      <c r="BI19" s="1505" t="n"/>
      <c r="BJ19" s="1505" t="n"/>
      <c r="BK19" s="1505" t="n"/>
      <c r="BL19" s="1505" t="n"/>
      <c r="BM19" s="1505" t="n"/>
      <c r="BN19" s="1505" t="n"/>
      <c r="BO19" s="1505" t="n"/>
      <c r="BP19" s="1507">
        <f>SUM(BD19:BO19)</f>
        <v/>
      </c>
      <c r="BQ19" s="1505" t="n"/>
      <c r="BR19" s="1505" t="n"/>
      <c r="BS19" s="1505" t="n"/>
      <c r="BT19" s="1505" t="n"/>
      <c r="BU19" s="1505" t="n"/>
      <c r="BV19" s="1505" t="n"/>
      <c r="BW19" s="1505" t="n"/>
      <c r="BX19" s="1505" t="n"/>
      <c r="BY19" s="1505" t="n"/>
      <c r="BZ19" s="1505" t="n"/>
      <c r="CA19" s="1505" t="n"/>
      <c r="CB19" s="1505" t="n"/>
      <c r="CC19" s="1507">
        <f>SUM(BQ19:CB19)</f>
        <v/>
      </c>
      <c r="CD19" s="1505" t="n"/>
      <c r="CE19" s="1505" t="n"/>
      <c r="CF19" s="1505" t="n"/>
      <c r="CG19" s="1505" t="n"/>
      <c r="CH19" s="1505" t="n"/>
      <c r="CI19" s="1505" t="n"/>
      <c r="CJ19" s="1505" t="n"/>
      <c r="CK19" s="1505" t="n"/>
      <c r="CL19" s="1505" t="n"/>
      <c r="CM19" s="1505" t="n"/>
      <c r="CN19" s="1505" t="n"/>
      <c r="CO19" s="1505" t="n"/>
      <c r="CP19" s="1507">
        <f>SUM(CD19:CO19)</f>
        <v/>
      </c>
      <c r="CQ19" s="1505" t="n"/>
      <c r="CR19" s="1505" t="n"/>
      <c r="CS19" s="1505" t="n"/>
      <c r="CT19" s="1505" t="n"/>
      <c r="CU19" s="1505" t="n"/>
      <c r="CV19" s="1505" t="n"/>
      <c r="CW19" s="1505" t="n"/>
      <c r="CX19" s="1505" t="n"/>
      <c r="CY19" s="1505" t="n"/>
      <c r="CZ19" s="1505" t="n"/>
      <c r="DA19" s="1505" t="n"/>
      <c r="DB19" s="1505" t="n"/>
      <c r="DC19" s="1507">
        <f>SUM(CQ19:DB19)</f>
        <v/>
      </c>
      <c r="DD19" s="1505" t="n"/>
      <c r="DE19" s="1505" t="n"/>
      <c r="DF19" s="1505" t="n"/>
      <c r="DG19" s="1505" t="n"/>
      <c r="DH19" s="1505" t="n"/>
      <c r="DI19" s="1505" t="n"/>
      <c r="DJ19" s="1505" t="n"/>
      <c r="DK19" s="1505" t="n"/>
      <c r="DL19" s="1505" t="n"/>
      <c r="DM19" s="1505" t="n"/>
      <c r="DN19" s="1505" t="n"/>
      <c r="DO19" s="1505" t="n"/>
      <c r="DP19" s="1507">
        <f>SUM(DD19:DO19)</f>
        <v/>
      </c>
    </row>
    <row r="20">
      <c r="A20" s="714" t="n"/>
      <c r="B20" s="719" t="n"/>
      <c r="C20" s="1505" t="n"/>
      <c r="D20" s="1505" t="n"/>
      <c r="E20" s="1505" t="n"/>
      <c r="F20" s="1505" t="n"/>
      <c r="G20" s="1505" t="n"/>
      <c r="H20" s="1505" t="n"/>
      <c r="I20" s="1505" t="n"/>
      <c r="J20" s="1505" t="n"/>
      <c r="K20" s="1505" t="n"/>
      <c r="L20" s="1505" t="n"/>
      <c r="M20" s="1505" t="n"/>
      <c r="N20" s="1505" t="n"/>
      <c r="O20" s="1505" t="n"/>
      <c r="P20" s="1507">
        <f>SUM(C20:O20)</f>
        <v/>
      </c>
      <c r="Q20" s="1505" t="n"/>
      <c r="R20" s="1505" t="n"/>
      <c r="S20" s="1505" t="n"/>
      <c r="T20" s="1505" t="n"/>
      <c r="U20" s="1505" t="n"/>
      <c r="V20" s="1505" t="n"/>
      <c r="W20" s="1505" t="n"/>
      <c r="X20" s="1505" t="n"/>
      <c r="Y20" s="1505" t="n"/>
      <c r="Z20" s="1505" t="n"/>
      <c r="AA20" s="1505" t="n"/>
      <c r="AB20" s="1505" t="n"/>
      <c r="AC20" s="1507">
        <f>SUM(Q20:AB20)</f>
        <v/>
      </c>
      <c r="AD20" s="1505" t="n"/>
      <c r="AE20" s="1505" t="n"/>
      <c r="AF20" s="1505" t="n"/>
      <c r="AG20" s="1505" t="n"/>
      <c r="AH20" s="1505" t="n"/>
      <c r="AI20" s="1505" t="n"/>
      <c r="AJ20" s="1505" t="n"/>
      <c r="AK20" s="1505" t="n"/>
      <c r="AL20" s="1505" t="n"/>
      <c r="AM20" s="1505" t="n"/>
      <c r="AN20" s="1505" t="n"/>
      <c r="AO20" s="1505" t="n"/>
      <c r="AP20" s="1507">
        <f>SUM(AD20:AO20)</f>
        <v/>
      </c>
      <c r="AQ20" s="1505" t="n"/>
      <c r="AR20" s="1505" t="n"/>
      <c r="AS20" s="1505" t="n"/>
      <c r="AT20" s="1505" t="n"/>
      <c r="AU20" s="1505" t="n"/>
      <c r="AV20" s="1505" t="n"/>
      <c r="AW20" s="1505" t="n"/>
      <c r="AX20" s="1505" t="n"/>
      <c r="AY20" s="1505" t="n"/>
      <c r="AZ20" s="1505" t="n"/>
      <c r="BA20" s="1505" t="n"/>
      <c r="BB20" s="1505" t="n"/>
      <c r="BC20" s="1507">
        <f>SUM(AQ20:BB20)</f>
        <v/>
      </c>
      <c r="BD20" s="1505" t="n"/>
      <c r="BE20" s="1505" t="n"/>
      <c r="BF20" s="1505" t="n"/>
      <c r="BG20" s="1505" t="n"/>
      <c r="BH20" s="1505" t="n"/>
      <c r="BI20" s="1505" t="n"/>
      <c r="BJ20" s="1505" t="n"/>
      <c r="BK20" s="1505" t="n"/>
      <c r="BL20" s="1505" t="n"/>
      <c r="BM20" s="1505" t="n"/>
      <c r="BN20" s="1505" t="n"/>
      <c r="BO20" s="1505" t="n"/>
      <c r="BP20" s="1507">
        <f>SUM(BD20:BO20)</f>
        <v/>
      </c>
      <c r="BQ20" s="1505" t="n"/>
      <c r="BR20" s="1505" t="n"/>
      <c r="BS20" s="1505" t="n"/>
      <c r="BT20" s="1505" t="n"/>
      <c r="BU20" s="1505" t="n"/>
      <c r="BV20" s="1505" t="n"/>
      <c r="BW20" s="1505" t="n"/>
      <c r="BX20" s="1505" t="n"/>
      <c r="BY20" s="1505" t="n"/>
      <c r="BZ20" s="1505" t="n"/>
      <c r="CA20" s="1505" t="n"/>
      <c r="CB20" s="1505" t="n"/>
      <c r="CC20" s="1507">
        <f>SUM(BQ20:CB20)</f>
        <v/>
      </c>
      <c r="CD20" s="1505" t="n"/>
      <c r="CE20" s="1505" t="n"/>
      <c r="CF20" s="1505" t="n"/>
      <c r="CG20" s="1505" t="n"/>
      <c r="CH20" s="1505" t="n"/>
      <c r="CI20" s="1505" t="n"/>
      <c r="CJ20" s="1505" t="n"/>
      <c r="CK20" s="1505" t="n"/>
      <c r="CL20" s="1505" t="n"/>
      <c r="CM20" s="1505" t="n"/>
      <c r="CN20" s="1505" t="n"/>
      <c r="CO20" s="1505" t="n"/>
      <c r="CP20" s="1507">
        <f>SUM(CD20:CO20)</f>
        <v/>
      </c>
      <c r="CQ20" s="1505" t="n"/>
      <c r="CR20" s="1505" t="n"/>
      <c r="CS20" s="1505" t="n"/>
      <c r="CT20" s="1505" t="n"/>
      <c r="CU20" s="1505" t="n"/>
      <c r="CV20" s="1505" t="n"/>
      <c r="CW20" s="1505" t="n"/>
      <c r="CX20" s="1505" t="n"/>
      <c r="CY20" s="1505" t="n"/>
      <c r="CZ20" s="1505" t="n"/>
      <c r="DA20" s="1505" t="n"/>
      <c r="DB20" s="1505" t="n"/>
      <c r="DC20" s="1507">
        <f>SUM(CQ20:DB20)</f>
        <v/>
      </c>
      <c r="DD20" s="1505" t="n"/>
      <c r="DE20" s="1505" t="n"/>
      <c r="DF20" s="1505" t="n"/>
      <c r="DG20" s="1505" t="n"/>
      <c r="DH20" s="1505" t="n"/>
      <c r="DI20" s="1505" t="n"/>
      <c r="DJ20" s="1505" t="n"/>
      <c r="DK20" s="1505" t="n"/>
      <c r="DL20" s="1505" t="n"/>
      <c r="DM20" s="1505" t="n"/>
      <c r="DN20" s="1505" t="n"/>
      <c r="DO20" s="1505" t="n"/>
      <c r="DP20" s="1507">
        <f>SUM(DD20:DO20)</f>
        <v/>
      </c>
    </row>
    <row r="21">
      <c r="A21" s="714" t="n"/>
      <c r="B21" s="719" t="n"/>
      <c r="C21" s="1505" t="n"/>
      <c r="D21" s="1505" t="n"/>
      <c r="E21" s="1505" t="n"/>
      <c r="F21" s="1505" t="n"/>
      <c r="G21" s="1505" t="n"/>
      <c r="H21" s="1505" t="n"/>
      <c r="I21" s="1505" t="n"/>
      <c r="J21" s="1505" t="n"/>
      <c r="K21" s="1505" t="n"/>
      <c r="L21" s="1505" t="n"/>
      <c r="M21" s="1505" t="n"/>
      <c r="N21" s="1505" t="n"/>
      <c r="O21" s="1505" t="n"/>
      <c r="P21" s="1507">
        <f>SUM(C21:O21)</f>
        <v/>
      </c>
      <c r="Q21" s="1505" t="n"/>
      <c r="R21" s="1505" t="n"/>
      <c r="S21" s="1505" t="n"/>
      <c r="T21" s="1505" t="n"/>
      <c r="U21" s="1505" t="n"/>
      <c r="V21" s="1505" t="n"/>
      <c r="W21" s="1505" t="n"/>
      <c r="X21" s="1505" t="n"/>
      <c r="Y21" s="1505" t="n"/>
      <c r="Z21" s="1505" t="n"/>
      <c r="AA21" s="1505" t="n"/>
      <c r="AB21" s="1505" t="n"/>
      <c r="AC21" s="1507">
        <f>SUM(Q21:AB21)</f>
        <v/>
      </c>
      <c r="AD21" s="1505" t="n"/>
      <c r="AE21" s="1505" t="n"/>
      <c r="AF21" s="1505" t="n"/>
      <c r="AG21" s="1505" t="n"/>
      <c r="AH21" s="1505" t="n"/>
      <c r="AI21" s="1505" t="n"/>
      <c r="AJ21" s="1505" t="n"/>
      <c r="AK21" s="1505" t="n"/>
      <c r="AL21" s="1505" t="n"/>
      <c r="AM21" s="1505" t="n"/>
      <c r="AN21" s="1505" t="n"/>
      <c r="AO21" s="1505" t="n"/>
      <c r="AP21" s="1507">
        <f>SUM(AD21:AO21)</f>
        <v/>
      </c>
      <c r="AQ21" s="1505" t="n"/>
      <c r="AR21" s="1505" t="n"/>
      <c r="AS21" s="1505" t="n"/>
      <c r="AT21" s="1505" t="n"/>
      <c r="AU21" s="1505" t="n"/>
      <c r="AV21" s="1505" t="n"/>
      <c r="AW21" s="1505" t="n"/>
      <c r="AX21" s="1505" t="n"/>
      <c r="AY21" s="1505" t="n"/>
      <c r="AZ21" s="1505" t="n"/>
      <c r="BA21" s="1505" t="n"/>
      <c r="BB21" s="1505" t="n"/>
      <c r="BC21" s="1507">
        <f>SUM(AQ21:BB21)</f>
        <v/>
      </c>
      <c r="BD21" s="1505" t="n"/>
      <c r="BE21" s="1505" t="n"/>
      <c r="BF21" s="1505" t="n"/>
      <c r="BG21" s="1505" t="n"/>
      <c r="BH21" s="1505" t="n"/>
      <c r="BI21" s="1505" t="n"/>
      <c r="BJ21" s="1505" t="n"/>
      <c r="BK21" s="1505" t="n"/>
      <c r="BL21" s="1505" t="n"/>
      <c r="BM21" s="1505" t="n"/>
      <c r="BN21" s="1505" t="n"/>
      <c r="BO21" s="1505" t="n"/>
      <c r="BP21" s="1507">
        <f>SUM(BD21:BO21)</f>
        <v/>
      </c>
      <c r="BQ21" s="1505" t="n"/>
      <c r="BR21" s="1505" t="n"/>
      <c r="BS21" s="1505" t="n"/>
      <c r="BT21" s="1505" t="n"/>
      <c r="BU21" s="1505" t="n"/>
      <c r="BV21" s="1505" t="n"/>
      <c r="BW21" s="1505" t="n"/>
      <c r="BX21" s="1505" t="n"/>
      <c r="BY21" s="1505" t="n"/>
      <c r="BZ21" s="1505" t="n"/>
      <c r="CA21" s="1505" t="n"/>
      <c r="CB21" s="1505" t="n"/>
      <c r="CC21" s="1507">
        <f>SUM(BQ21:CB21)</f>
        <v/>
      </c>
      <c r="CD21" s="1505" t="n"/>
      <c r="CE21" s="1505" t="n"/>
      <c r="CF21" s="1505" t="n"/>
      <c r="CG21" s="1505" t="n"/>
      <c r="CH21" s="1505" t="n"/>
      <c r="CI21" s="1505" t="n"/>
      <c r="CJ21" s="1505" t="n"/>
      <c r="CK21" s="1505" t="n"/>
      <c r="CL21" s="1505" t="n"/>
      <c r="CM21" s="1505" t="n"/>
      <c r="CN21" s="1505" t="n"/>
      <c r="CO21" s="1505" t="n"/>
      <c r="CP21" s="1507">
        <f>SUM(CD21:CO21)</f>
        <v/>
      </c>
      <c r="CQ21" s="1505" t="n"/>
      <c r="CR21" s="1505" t="n"/>
      <c r="CS21" s="1505" t="n"/>
      <c r="CT21" s="1505" t="n"/>
      <c r="CU21" s="1505" t="n"/>
      <c r="CV21" s="1505" t="n"/>
      <c r="CW21" s="1505" t="n"/>
      <c r="CX21" s="1505" t="n"/>
      <c r="CY21" s="1505" t="n"/>
      <c r="CZ21" s="1505" t="n"/>
      <c r="DA21" s="1505" t="n"/>
      <c r="DB21" s="1505" t="n"/>
      <c r="DC21" s="1507">
        <f>SUM(CQ21:DB21)</f>
        <v/>
      </c>
      <c r="DD21" s="1505" t="n"/>
      <c r="DE21" s="1505" t="n"/>
      <c r="DF21" s="1505" t="n"/>
      <c r="DG21" s="1505" t="n"/>
      <c r="DH21" s="1505" t="n"/>
      <c r="DI21" s="1505" t="n"/>
      <c r="DJ21" s="1505" t="n"/>
      <c r="DK21" s="1505" t="n"/>
      <c r="DL21" s="1505" t="n"/>
      <c r="DM21" s="1505" t="n"/>
      <c r="DN21" s="1505" t="n"/>
      <c r="DO21" s="1505" t="n"/>
      <c r="DP21" s="1507">
        <f>SUM(DD21:DO21)</f>
        <v/>
      </c>
    </row>
    <row r="22" hidden="1">
      <c r="A22" s="714" t="n"/>
      <c r="B22" s="719" t="n"/>
      <c r="C22" s="1505" t="n"/>
      <c r="D22" s="1505" t="n"/>
      <c r="E22" s="1505" t="n"/>
      <c r="F22" s="1505" t="n"/>
      <c r="G22" s="1505" t="n"/>
      <c r="H22" s="1505" t="n"/>
      <c r="I22" s="1505" t="n"/>
      <c r="J22" s="1505" t="n"/>
      <c r="K22" s="1505" t="n"/>
      <c r="L22" s="1505" t="n"/>
      <c r="M22" s="1505" t="n"/>
      <c r="N22" s="1505" t="n"/>
      <c r="O22" s="1505" t="n"/>
      <c r="P22" s="1507">
        <f>SUM(C22:O22)</f>
        <v/>
      </c>
      <c r="Q22" s="1505" t="n"/>
      <c r="R22" s="1505" t="n"/>
      <c r="S22" s="1505" t="n"/>
      <c r="T22" s="1505" t="n"/>
      <c r="U22" s="1505" t="n"/>
      <c r="V22" s="1505" t="n"/>
      <c r="W22" s="1505" t="n"/>
      <c r="X22" s="1505" t="n"/>
      <c r="Y22" s="1505" t="n"/>
      <c r="Z22" s="1505" t="n"/>
      <c r="AA22" s="1505" t="n"/>
      <c r="AB22" s="1505" t="n"/>
      <c r="AC22" s="1507">
        <f>SUM(Q22:AB22)</f>
        <v/>
      </c>
      <c r="AD22" s="1505" t="n"/>
      <c r="AE22" s="1505" t="n"/>
      <c r="AF22" s="1505" t="n"/>
      <c r="AG22" s="1505" t="n"/>
      <c r="AH22" s="1505" t="n"/>
      <c r="AI22" s="1505" t="n"/>
      <c r="AJ22" s="1505" t="n"/>
      <c r="AK22" s="1505" t="n"/>
      <c r="AL22" s="1505" t="n"/>
      <c r="AM22" s="1505" t="n"/>
      <c r="AN22" s="1505" t="n"/>
      <c r="AO22" s="1505" t="n"/>
      <c r="AP22" s="1507">
        <f>SUM(AD22:AO22)</f>
        <v/>
      </c>
      <c r="AQ22" s="1505" t="n"/>
      <c r="AR22" s="1505" t="n"/>
      <c r="AS22" s="1505" t="n"/>
      <c r="AT22" s="1505" t="n"/>
      <c r="AU22" s="1505" t="n"/>
      <c r="AV22" s="1505" t="n"/>
      <c r="AW22" s="1505" t="n"/>
      <c r="AX22" s="1505" t="n"/>
      <c r="AY22" s="1505" t="n"/>
      <c r="AZ22" s="1505" t="n"/>
      <c r="BA22" s="1505" t="n"/>
      <c r="BB22" s="1505" t="n"/>
      <c r="BC22" s="1507">
        <f>SUM(AQ22:BB22)</f>
        <v/>
      </c>
      <c r="BD22" s="1505" t="n"/>
      <c r="BE22" s="1505" t="n"/>
      <c r="BF22" s="1505" t="n"/>
      <c r="BG22" s="1505" t="n"/>
      <c r="BH22" s="1505" t="n"/>
      <c r="BI22" s="1505" t="n"/>
      <c r="BJ22" s="1505" t="n"/>
      <c r="BK22" s="1505" t="n"/>
      <c r="BL22" s="1505" t="n"/>
      <c r="BM22" s="1505" t="n"/>
      <c r="BN22" s="1505" t="n"/>
      <c r="BO22" s="1505" t="n"/>
      <c r="BP22" s="1507">
        <f>SUM(BD22:BO22)</f>
        <v/>
      </c>
      <c r="BQ22" s="1505" t="n"/>
      <c r="BR22" s="1505" t="n"/>
      <c r="BS22" s="1505" t="n"/>
      <c r="BT22" s="1505" t="n"/>
      <c r="BU22" s="1505" t="n"/>
      <c r="BV22" s="1505" t="n"/>
      <c r="BW22" s="1505" t="n"/>
      <c r="BX22" s="1505" t="n"/>
      <c r="BY22" s="1505" t="n"/>
      <c r="BZ22" s="1505" t="n"/>
      <c r="CA22" s="1505" t="n"/>
      <c r="CB22" s="1505" t="n"/>
      <c r="CC22" s="1507">
        <f>SUM(BQ22:CB22)</f>
        <v/>
      </c>
      <c r="CD22" s="1505" t="n"/>
      <c r="CE22" s="1505" t="n"/>
      <c r="CF22" s="1505" t="n"/>
      <c r="CG22" s="1505" t="n"/>
      <c r="CH22" s="1505" t="n"/>
      <c r="CI22" s="1505" t="n"/>
      <c r="CJ22" s="1505" t="n"/>
      <c r="CK22" s="1505" t="n"/>
      <c r="CL22" s="1505" t="n"/>
      <c r="CM22" s="1505" t="n"/>
      <c r="CN22" s="1505" t="n"/>
      <c r="CO22" s="1505" t="n"/>
      <c r="CP22" s="1507">
        <f>SUM(CD22:CO22)</f>
        <v/>
      </c>
      <c r="CQ22" s="1505" t="n"/>
      <c r="CR22" s="1505" t="n"/>
      <c r="CS22" s="1505" t="n"/>
      <c r="CT22" s="1505" t="n"/>
      <c r="CU22" s="1505" t="n"/>
      <c r="CV22" s="1505" t="n"/>
      <c r="CW22" s="1505" t="n"/>
      <c r="CX22" s="1505" t="n"/>
      <c r="CY22" s="1505" t="n"/>
      <c r="CZ22" s="1505" t="n"/>
      <c r="DA22" s="1505" t="n"/>
      <c r="DB22" s="1505" t="n"/>
      <c r="DC22" s="1507">
        <f>SUM(CQ22:DB22)</f>
        <v/>
      </c>
      <c r="DD22" s="1505" t="n"/>
      <c r="DE22" s="1505" t="n"/>
      <c r="DF22" s="1505" t="n"/>
      <c r="DG22" s="1505" t="n"/>
      <c r="DH22" s="1505" t="n"/>
      <c r="DI22" s="1505" t="n"/>
      <c r="DJ22" s="1505" t="n"/>
      <c r="DK22" s="1505" t="n"/>
      <c r="DL22" s="1505" t="n"/>
      <c r="DM22" s="1505" t="n"/>
      <c r="DN22" s="1505" t="n"/>
      <c r="DO22" s="1505" t="n"/>
      <c r="DP22" s="1507">
        <f>SUM(DD22:DO22)</f>
        <v/>
      </c>
    </row>
    <row r="23" hidden="1">
      <c r="A23" s="714" t="n"/>
      <c r="B23" s="719" t="n"/>
      <c r="C23" s="1505" t="n"/>
      <c r="D23" s="1505" t="n"/>
      <c r="E23" s="1505" t="n"/>
      <c r="F23" s="1505" t="n"/>
      <c r="G23" s="1505" t="n"/>
      <c r="H23" s="1505" t="n"/>
      <c r="I23" s="1505" t="n"/>
      <c r="J23" s="1505" t="n"/>
      <c r="K23" s="1505" t="n"/>
      <c r="L23" s="1505" t="n"/>
      <c r="M23" s="1505" t="n"/>
      <c r="N23" s="1505" t="n"/>
      <c r="O23" s="1505" t="n"/>
      <c r="P23" s="1507">
        <f>SUM(C23:O23)</f>
        <v/>
      </c>
      <c r="Q23" s="1505" t="n"/>
      <c r="R23" s="1505" t="n"/>
      <c r="S23" s="1505" t="n"/>
      <c r="T23" s="1505" t="n"/>
      <c r="U23" s="1505" t="n"/>
      <c r="V23" s="1505" t="n"/>
      <c r="W23" s="1505" t="n"/>
      <c r="X23" s="1505" t="n"/>
      <c r="Y23" s="1505" t="n"/>
      <c r="Z23" s="1505" t="n"/>
      <c r="AA23" s="1505" t="n"/>
      <c r="AB23" s="1505" t="n"/>
      <c r="AC23" s="1507">
        <f>SUM(Q23:AB23)</f>
        <v/>
      </c>
      <c r="AD23" s="1505" t="n"/>
      <c r="AE23" s="1505" t="n"/>
      <c r="AF23" s="1505" t="n"/>
      <c r="AG23" s="1505" t="n"/>
      <c r="AH23" s="1505" t="n"/>
      <c r="AI23" s="1505" t="n"/>
      <c r="AJ23" s="1505" t="n"/>
      <c r="AK23" s="1505" t="n"/>
      <c r="AL23" s="1505" t="n"/>
      <c r="AM23" s="1505" t="n"/>
      <c r="AN23" s="1505" t="n"/>
      <c r="AO23" s="1505" t="n"/>
      <c r="AP23" s="1507">
        <f>SUM(AD23:AO23)</f>
        <v/>
      </c>
      <c r="AQ23" s="1505" t="n"/>
      <c r="AR23" s="1505" t="n"/>
      <c r="AS23" s="1505" t="n"/>
      <c r="AT23" s="1505" t="n"/>
      <c r="AU23" s="1505" t="n"/>
      <c r="AV23" s="1505" t="n"/>
      <c r="AW23" s="1505" t="n"/>
      <c r="AX23" s="1505" t="n"/>
      <c r="AY23" s="1505" t="n"/>
      <c r="AZ23" s="1505" t="n"/>
      <c r="BA23" s="1505" t="n"/>
      <c r="BB23" s="1505" t="n"/>
      <c r="BC23" s="1507">
        <f>SUM(AQ23:BB23)</f>
        <v/>
      </c>
      <c r="BD23" s="1505" t="n"/>
      <c r="BE23" s="1505" t="n"/>
      <c r="BF23" s="1505" t="n"/>
      <c r="BG23" s="1505" t="n"/>
      <c r="BH23" s="1505" t="n"/>
      <c r="BI23" s="1505" t="n"/>
      <c r="BJ23" s="1505" t="n"/>
      <c r="BK23" s="1505" t="n"/>
      <c r="BL23" s="1505" t="n"/>
      <c r="BM23" s="1505" t="n"/>
      <c r="BN23" s="1505" t="n"/>
      <c r="BO23" s="1505" t="n"/>
      <c r="BP23" s="1507">
        <f>SUM(BD23:BO23)</f>
        <v/>
      </c>
      <c r="BQ23" s="1505" t="n"/>
      <c r="BR23" s="1505" t="n"/>
      <c r="BS23" s="1505" t="n"/>
      <c r="BT23" s="1505" t="n"/>
      <c r="BU23" s="1505" t="n"/>
      <c r="BV23" s="1505" t="n"/>
      <c r="BW23" s="1505" t="n"/>
      <c r="BX23" s="1505" t="n"/>
      <c r="BY23" s="1505" t="n"/>
      <c r="BZ23" s="1505" t="n"/>
      <c r="CA23" s="1505" t="n"/>
      <c r="CB23" s="1505" t="n"/>
      <c r="CC23" s="1507">
        <f>SUM(BQ23:CB23)</f>
        <v/>
      </c>
      <c r="CD23" s="1505" t="n"/>
      <c r="CE23" s="1505" t="n"/>
      <c r="CF23" s="1505" t="n"/>
      <c r="CG23" s="1505" t="n"/>
      <c r="CH23" s="1505" t="n"/>
      <c r="CI23" s="1505" t="n"/>
      <c r="CJ23" s="1505" t="n"/>
      <c r="CK23" s="1505" t="n"/>
      <c r="CL23" s="1505" t="n"/>
      <c r="CM23" s="1505" t="n"/>
      <c r="CN23" s="1505" t="n"/>
      <c r="CO23" s="1505" t="n"/>
      <c r="CP23" s="1507">
        <f>SUM(CD23:CO23)</f>
        <v/>
      </c>
      <c r="CQ23" s="1505" t="n"/>
      <c r="CR23" s="1505" t="n"/>
      <c r="CS23" s="1505" t="n"/>
      <c r="CT23" s="1505" t="n"/>
      <c r="CU23" s="1505" t="n"/>
      <c r="CV23" s="1505" t="n"/>
      <c r="CW23" s="1505" t="n"/>
      <c r="CX23" s="1505" t="n"/>
      <c r="CY23" s="1505" t="n"/>
      <c r="CZ23" s="1505" t="n"/>
      <c r="DA23" s="1505" t="n"/>
      <c r="DB23" s="1505" t="n"/>
      <c r="DC23" s="1507">
        <f>SUM(CQ23:DB23)</f>
        <v/>
      </c>
      <c r="DD23" s="1505" t="n"/>
      <c r="DE23" s="1505" t="n"/>
      <c r="DF23" s="1505" t="n"/>
      <c r="DG23" s="1505" t="n"/>
      <c r="DH23" s="1505" t="n"/>
      <c r="DI23" s="1505" t="n"/>
      <c r="DJ23" s="1505" t="n"/>
      <c r="DK23" s="1505" t="n"/>
      <c r="DL23" s="1505" t="n"/>
      <c r="DM23" s="1505" t="n"/>
      <c r="DN23" s="1505" t="n"/>
      <c r="DO23" s="1505" t="n"/>
      <c r="DP23" s="1507">
        <f>SUM(DD23:DO23)</f>
        <v/>
      </c>
    </row>
    <row r="24" hidden="1">
      <c r="A24" s="714" t="n"/>
      <c r="B24" s="724" t="n"/>
      <c r="C24" s="1505" t="n"/>
      <c r="D24" s="1505" t="n"/>
      <c r="E24" s="1505" t="n"/>
      <c r="F24" s="1505" t="n"/>
      <c r="G24" s="1505" t="n"/>
      <c r="H24" s="1505" t="n"/>
      <c r="I24" s="1505" t="n"/>
      <c r="J24" s="1505" t="n"/>
      <c r="K24" s="1505" t="n"/>
      <c r="L24" s="1505" t="n"/>
      <c r="M24" s="1505" t="n"/>
      <c r="N24" s="1505" t="n"/>
      <c r="O24" s="1505" t="n"/>
      <c r="P24" s="1507">
        <f>SUM(C24:O24)</f>
        <v/>
      </c>
      <c r="Q24" s="1505" t="n"/>
      <c r="R24" s="1505" t="n"/>
      <c r="S24" s="1505" t="n"/>
      <c r="T24" s="1505" t="n"/>
      <c r="U24" s="1505" t="n"/>
      <c r="V24" s="1505" t="n"/>
      <c r="W24" s="1505" t="n"/>
      <c r="X24" s="1505" t="n"/>
      <c r="Y24" s="1505" t="n"/>
      <c r="Z24" s="1505" t="n"/>
      <c r="AA24" s="1505" t="n"/>
      <c r="AB24" s="1505" t="n"/>
      <c r="AC24" s="1507">
        <f>SUM(Q24:AB24)</f>
        <v/>
      </c>
      <c r="AD24" s="1505" t="n"/>
      <c r="AE24" s="1505" t="n"/>
      <c r="AF24" s="1505" t="n"/>
      <c r="AG24" s="1505" t="n"/>
      <c r="AH24" s="1505" t="n"/>
      <c r="AI24" s="1505" t="n"/>
      <c r="AJ24" s="1505" t="n"/>
      <c r="AK24" s="1505" t="n"/>
      <c r="AL24" s="1505" t="n"/>
      <c r="AM24" s="1505" t="n"/>
      <c r="AN24" s="1505" t="n"/>
      <c r="AO24" s="1505" t="n"/>
      <c r="AP24" s="1507">
        <f>SUM(AD24:AO24)</f>
        <v/>
      </c>
      <c r="AQ24" s="1505" t="n"/>
      <c r="AR24" s="1505" t="n"/>
      <c r="AS24" s="1505" t="n"/>
      <c r="AT24" s="1505" t="n"/>
      <c r="AU24" s="1505" t="n"/>
      <c r="AV24" s="1505" t="n"/>
      <c r="AW24" s="1505" t="n"/>
      <c r="AX24" s="1505" t="n"/>
      <c r="AY24" s="1505" t="n"/>
      <c r="AZ24" s="1505" t="n"/>
      <c r="BA24" s="1505" t="n"/>
      <c r="BB24" s="1505" t="n"/>
      <c r="BC24" s="1507">
        <f>SUM(AQ24:BB24)</f>
        <v/>
      </c>
      <c r="BD24" s="1505" t="n"/>
      <c r="BE24" s="1505" t="n"/>
      <c r="BF24" s="1505" t="n"/>
      <c r="BG24" s="1505" t="n"/>
      <c r="BH24" s="1505" t="n"/>
      <c r="BI24" s="1505" t="n"/>
      <c r="BJ24" s="1505" t="n"/>
      <c r="BK24" s="1505" t="n"/>
      <c r="BL24" s="1505" t="n"/>
      <c r="BM24" s="1505" t="n"/>
      <c r="BN24" s="1505" t="n"/>
      <c r="BO24" s="1505" t="n"/>
      <c r="BP24" s="1507">
        <f>SUM(BD24:BO24)</f>
        <v/>
      </c>
      <c r="BQ24" s="1505" t="n"/>
      <c r="BR24" s="1505" t="n"/>
      <c r="BS24" s="1505" t="n"/>
      <c r="BT24" s="1505" t="n"/>
      <c r="BU24" s="1505" t="n"/>
      <c r="BV24" s="1505" t="n"/>
      <c r="BW24" s="1505" t="n"/>
      <c r="BX24" s="1505" t="n"/>
      <c r="BY24" s="1505" t="n"/>
      <c r="BZ24" s="1505" t="n"/>
      <c r="CA24" s="1505" t="n"/>
      <c r="CB24" s="1505" t="n"/>
      <c r="CC24" s="1507">
        <f>SUM(BQ24:CB24)</f>
        <v/>
      </c>
      <c r="CD24" s="1505" t="n"/>
      <c r="CE24" s="1505" t="n"/>
      <c r="CF24" s="1505" t="n"/>
      <c r="CG24" s="1505" t="n"/>
      <c r="CH24" s="1505" t="n"/>
      <c r="CI24" s="1505" t="n"/>
      <c r="CJ24" s="1505" t="n"/>
      <c r="CK24" s="1505" t="n"/>
      <c r="CL24" s="1505" t="n"/>
      <c r="CM24" s="1505" t="n"/>
      <c r="CN24" s="1505" t="n"/>
      <c r="CO24" s="1505" t="n"/>
      <c r="CP24" s="1507">
        <f>SUM(CD24:CO24)</f>
        <v/>
      </c>
      <c r="CQ24" s="1505" t="n"/>
      <c r="CR24" s="1505" t="n"/>
      <c r="CS24" s="1505" t="n"/>
      <c r="CT24" s="1505" t="n"/>
      <c r="CU24" s="1505" t="n"/>
      <c r="CV24" s="1505" t="n"/>
      <c r="CW24" s="1505" t="n"/>
      <c r="CX24" s="1505" t="n"/>
      <c r="CY24" s="1505" t="n"/>
      <c r="CZ24" s="1505" t="n"/>
      <c r="DA24" s="1505" t="n"/>
      <c r="DB24" s="1505" t="n"/>
      <c r="DC24" s="1507">
        <f>SUM(CQ24:DB24)</f>
        <v/>
      </c>
      <c r="DD24" s="1505" t="n"/>
      <c r="DE24" s="1505" t="n"/>
      <c r="DF24" s="1505" t="n"/>
      <c r="DG24" s="1505" t="n"/>
      <c r="DH24" s="1505" t="n"/>
      <c r="DI24" s="1505" t="n"/>
      <c r="DJ24" s="1505" t="n"/>
      <c r="DK24" s="1505" t="n"/>
      <c r="DL24" s="1505" t="n"/>
      <c r="DM24" s="1505" t="n"/>
      <c r="DN24" s="1505" t="n"/>
      <c r="DO24" s="1505" t="n"/>
      <c r="DP24" s="1507">
        <f>SUM(DD24:DO24)</f>
        <v/>
      </c>
    </row>
    <row r="25">
      <c r="A25" s="714" t="n"/>
      <c r="B25" s="720" t="n"/>
      <c r="C25" s="1550">
        <f>SUM(C18:C24)</f>
        <v/>
      </c>
      <c r="D25" s="1550">
        <f>SUM(D18:D24)</f>
        <v/>
      </c>
      <c r="E25" s="1550">
        <f>SUM(E18:E24)</f>
        <v/>
      </c>
      <c r="F25" s="1550">
        <f>SUM(F18:F24)</f>
        <v/>
      </c>
      <c r="G25" s="1550">
        <f>SUM(G18:G24)</f>
        <v/>
      </c>
      <c r="H25" s="1550">
        <f>SUM(H18:H24)</f>
        <v/>
      </c>
      <c r="I25" s="1550">
        <f>SUM(I18:I24)</f>
        <v/>
      </c>
      <c r="J25" s="1550">
        <f>SUM(J18:J24)</f>
        <v/>
      </c>
      <c r="K25" s="1550">
        <f>SUM(K18:K24)</f>
        <v/>
      </c>
      <c r="L25" s="1550">
        <f>SUM(L18:L24)</f>
        <v/>
      </c>
      <c r="M25" s="1550">
        <f>SUM(M18:M24)</f>
        <v/>
      </c>
      <c r="N25" s="1550">
        <f>SUM(N18:N24)</f>
        <v/>
      </c>
      <c r="O25" s="1550">
        <f>SUM(O18:O24)</f>
        <v/>
      </c>
      <c r="P25" s="1507">
        <f>SUM(C25:O25)</f>
        <v/>
      </c>
      <c r="Q25" s="1550">
        <f>SUM(Q18:Q24)</f>
        <v/>
      </c>
      <c r="R25" s="1550">
        <f>SUM(R18:R24)</f>
        <v/>
      </c>
      <c r="S25" s="1550">
        <f>SUM(S18:S24)</f>
        <v/>
      </c>
      <c r="T25" s="1550">
        <f>SUM(T18:T24)</f>
        <v/>
      </c>
      <c r="U25" s="1550">
        <f>SUM(U18:U24)</f>
        <v/>
      </c>
      <c r="V25" s="1550">
        <f>SUM(V18:V24)</f>
        <v/>
      </c>
      <c r="W25" s="1550">
        <f>SUM(W18:W24)</f>
        <v/>
      </c>
      <c r="X25" s="1550">
        <f>SUM(X18:X24)</f>
        <v/>
      </c>
      <c r="Y25" s="1550">
        <f>SUM(Y18:Y24)</f>
        <v/>
      </c>
      <c r="Z25" s="1550">
        <f>SUM(Z18:Z24)</f>
        <v/>
      </c>
      <c r="AA25" s="1550">
        <f>SUM(AA18:AA24)</f>
        <v/>
      </c>
      <c r="AB25" s="1550">
        <f>SUM(AB18:AB24)</f>
        <v/>
      </c>
      <c r="AC25" s="1507">
        <f>SUM(Q25:AB25)</f>
        <v/>
      </c>
      <c r="AD25" s="1550">
        <f>SUM(AD18:AD24)</f>
        <v/>
      </c>
      <c r="AE25" s="1550">
        <f>SUM(AE18:AE24)</f>
        <v/>
      </c>
      <c r="AF25" s="1550">
        <f>SUM(AF18:AF24)</f>
        <v/>
      </c>
      <c r="AG25" s="1550">
        <f>SUM(AG18:AG24)</f>
        <v/>
      </c>
      <c r="AH25" s="1550">
        <f>SUM(AH18:AH24)</f>
        <v/>
      </c>
      <c r="AI25" s="1550">
        <f>SUM(AI18:AI24)</f>
        <v/>
      </c>
      <c r="AJ25" s="1550">
        <f>SUM(AJ18:AJ24)</f>
        <v/>
      </c>
      <c r="AK25" s="1550">
        <f>SUM(AK18:AK24)</f>
        <v/>
      </c>
      <c r="AL25" s="1550">
        <f>SUM(AL18:AL24)</f>
        <v/>
      </c>
      <c r="AM25" s="1550">
        <f>SUM(AM18:AM24)</f>
        <v/>
      </c>
      <c r="AN25" s="1550">
        <f>SUM(AN18:AN24)</f>
        <v/>
      </c>
      <c r="AO25" s="1550">
        <f>SUM(AO18:AO24)</f>
        <v/>
      </c>
      <c r="AP25" s="1507">
        <f>SUM(AD25:AO25)</f>
        <v/>
      </c>
      <c r="AQ25" s="1550">
        <f>SUM(AQ18:AQ24)</f>
        <v/>
      </c>
      <c r="AR25" s="1550">
        <f>SUM(AR18:AR24)</f>
        <v/>
      </c>
      <c r="AS25" s="1550">
        <f>SUM(AS18:AS24)</f>
        <v/>
      </c>
      <c r="AT25" s="1550">
        <f>SUM(AT18:AT24)</f>
        <v/>
      </c>
      <c r="AU25" s="1550">
        <f>SUM(AU18:AU24)</f>
        <v/>
      </c>
      <c r="AV25" s="1550">
        <f>SUM(AV18:AV24)</f>
        <v/>
      </c>
      <c r="AW25" s="1550">
        <f>SUM(AW18:AW24)</f>
        <v/>
      </c>
      <c r="AX25" s="1550">
        <f>SUM(AX18:AX24)</f>
        <v/>
      </c>
      <c r="AY25" s="1550">
        <f>SUM(AY18:AY24)</f>
        <v/>
      </c>
      <c r="AZ25" s="1550">
        <f>SUM(AZ18:AZ24)</f>
        <v/>
      </c>
      <c r="BA25" s="1550">
        <f>SUM(BA18:BA24)</f>
        <v/>
      </c>
      <c r="BB25" s="1550">
        <f>SUM(BB18:BB24)</f>
        <v/>
      </c>
      <c r="BC25" s="1507">
        <f>SUM(AQ25:BB25)</f>
        <v/>
      </c>
      <c r="BD25" s="1550">
        <f>SUM(BD18:BD24)</f>
        <v/>
      </c>
      <c r="BE25" s="1550">
        <f>SUM(BE18:BE24)</f>
        <v/>
      </c>
      <c r="BF25" s="1550">
        <f>SUM(BF18:BF24)</f>
        <v/>
      </c>
      <c r="BG25" s="1550">
        <f>SUM(BG18:BG24)</f>
        <v/>
      </c>
      <c r="BH25" s="1550">
        <f>SUM(BH18:BH24)</f>
        <v/>
      </c>
      <c r="BI25" s="1550">
        <f>SUM(BI18:BI24)</f>
        <v/>
      </c>
      <c r="BJ25" s="1550">
        <f>SUM(BJ18:BJ24)</f>
        <v/>
      </c>
      <c r="BK25" s="1550">
        <f>SUM(BK18:BK24)</f>
        <v/>
      </c>
      <c r="BL25" s="1550">
        <f>SUM(BL18:BL24)</f>
        <v/>
      </c>
      <c r="BM25" s="1550">
        <f>SUM(BM18:BM24)</f>
        <v/>
      </c>
      <c r="BN25" s="1550">
        <f>SUM(BN18:BN24)</f>
        <v/>
      </c>
      <c r="BO25" s="1550">
        <f>SUM(BO18:BO24)</f>
        <v/>
      </c>
      <c r="BP25" s="1507">
        <f>SUM(BD25:BO25)</f>
        <v/>
      </c>
      <c r="BQ25" s="1550">
        <f>SUM(BQ18:BQ24)</f>
        <v/>
      </c>
      <c r="BR25" s="1550">
        <f>SUM(BR18:BR24)</f>
        <v/>
      </c>
      <c r="BS25" s="1550">
        <f>SUM(BS18:BS24)</f>
        <v/>
      </c>
      <c r="BT25" s="1550">
        <f>SUM(BT18:BT24)</f>
        <v/>
      </c>
      <c r="BU25" s="1550">
        <f>SUM(BU18:BU24)</f>
        <v/>
      </c>
      <c r="BV25" s="1550">
        <f>SUM(BV18:BV24)</f>
        <v/>
      </c>
      <c r="BW25" s="1550">
        <f>SUM(BW18:BW24)</f>
        <v/>
      </c>
      <c r="BX25" s="1550">
        <f>SUM(BX18:BX24)</f>
        <v/>
      </c>
      <c r="BY25" s="1550">
        <f>SUM(BY18:BY24)</f>
        <v/>
      </c>
      <c r="BZ25" s="1550">
        <f>SUM(BZ18:BZ24)</f>
        <v/>
      </c>
      <c r="CA25" s="1550">
        <f>SUM(CA18:CA24)</f>
        <v/>
      </c>
      <c r="CB25" s="1550">
        <f>SUM(CB18:CB24)</f>
        <v/>
      </c>
      <c r="CC25" s="1507">
        <f>SUM(BQ25:CB25)</f>
        <v/>
      </c>
      <c r="CD25" s="1550">
        <f>SUM(CD18:CD24)</f>
        <v/>
      </c>
      <c r="CE25" s="1550">
        <f>SUM(CE18:CE24)</f>
        <v/>
      </c>
      <c r="CF25" s="1550">
        <f>SUM(CF18:CF24)</f>
        <v/>
      </c>
      <c r="CG25" s="1550">
        <f>SUM(CG18:CG24)</f>
        <v/>
      </c>
      <c r="CH25" s="1550">
        <f>SUM(CH18:CH24)</f>
        <v/>
      </c>
      <c r="CI25" s="1550">
        <f>SUM(CI18:CI24)</f>
        <v/>
      </c>
      <c r="CJ25" s="1550">
        <f>SUM(CJ18:CJ24)</f>
        <v/>
      </c>
      <c r="CK25" s="1550">
        <f>SUM(CK18:CK24)</f>
        <v/>
      </c>
      <c r="CL25" s="1550">
        <f>SUM(CL18:CL24)</f>
        <v/>
      </c>
      <c r="CM25" s="1550">
        <f>SUM(CM18:CM24)</f>
        <v/>
      </c>
      <c r="CN25" s="1550">
        <f>SUM(CN18:CN24)</f>
        <v/>
      </c>
      <c r="CO25" s="1550">
        <f>SUM(CO18:CO24)</f>
        <v/>
      </c>
      <c r="CP25" s="1507">
        <f>SUM(CD25:CO25)</f>
        <v/>
      </c>
      <c r="CQ25" s="1550">
        <f>SUM(CQ18:CQ24)</f>
        <v/>
      </c>
      <c r="CR25" s="1550">
        <f>SUM(CR18:CR24)</f>
        <v/>
      </c>
      <c r="CS25" s="1550">
        <f>SUM(CS18:CS24)</f>
        <v/>
      </c>
      <c r="CT25" s="1550">
        <f>SUM(CT18:CT24)</f>
        <v/>
      </c>
      <c r="CU25" s="1550">
        <f>SUM(CU18:CU24)</f>
        <v/>
      </c>
      <c r="CV25" s="1550">
        <f>SUM(CV18:CV24)</f>
        <v/>
      </c>
      <c r="CW25" s="1550">
        <f>SUM(CW18:CW24)</f>
        <v/>
      </c>
      <c r="CX25" s="1550">
        <f>SUM(CX18:CX24)</f>
        <v/>
      </c>
      <c r="CY25" s="1550">
        <f>SUM(CY18:CY24)</f>
        <v/>
      </c>
      <c r="CZ25" s="1550">
        <f>SUM(CZ18:CZ24)</f>
        <v/>
      </c>
      <c r="DA25" s="1550">
        <f>SUM(DA18:DA24)</f>
        <v/>
      </c>
      <c r="DB25" s="1550">
        <f>SUM(DB18:DB24)</f>
        <v/>
      </c>
      <c r="DC25" s="1507">
        <f>SUM(CQ25:DB25)</f>
        <v/>
      </c>
      <c r="DD25" s="1550">
        <f>SUM(DD18:DD24)</f>
        <v/>
      </c>
      <c r="DE25" s="1550">
        <f>SUM(DE18:DE24)</f>
        <v/>
      </c>
      <c r="DF25" s="1550">
        <f>SUM(DF18:DF24)</f>
        <v/>
      </c>
      <c r="DG25" s="1550">
        <f>SUM(DG18:DG24)</f>
        <v/>
      </c>
      <c r="DH25" s="1550">
        <f>SUM(DH18:DH24)</f>
        <v/>
      </c>
      <c r="DI25" s="1550">
        <f>SUM(DI18:DI24)</f>
        <v/>
      </c>
      <c r="DJ25" s="1550">
        <f>SUM(DJ18:DJ24)</f>
        <v/>
      </c>
      <c r="DK25" s="1550">
        <f>SUM(DK18:DK24)</f>
        <v/>
      </c>
      <c r="DL25" s="1550">
        <f>SUM(DL18:DL24)</f>
        <v/>
      </c>
      <c r="DM25" s="1550">
        <f>SUM(DM18:DM24)</f>
        <v/>
      </c>
      <c r="DN25" s="1550">
        <f>SUM(DN18:DN24)</f>
        <v/>
      </c>
      <c r="DO25" s="1550">
        <f>SUM(DO18:DO24)</f>
        <v/>
      </c>
      <c r="DP25" s="1507">
        <f>SUM(DD25:DO25)</f>
        <v/>
      </c>
    </row>
    <row r="26">
      <c r="A26" s="714" t="n"/>
      <c r="C26" s="726" t="n"/>
      <c r="D26" s="726">
        <f>D25/D15</f>
        <v/>
      </c>
      <c r="E26" s="726">
        <f>E25/E15</f>
        <v/>
      </c>
      <c r="F26" s="726">
        <f>F25/F15</f>
        <v/>
      </c>
      <c r="G26" s="726">
        <f>G25/G15</f>
        <v/>
      </c>
      <c r="H26" s="726">
        <f>H25/H15</f>
        <v/>
      </c>
      <c r="I26" s="726">
        <f>I25/I15</f>
        <v/>
      </c>
      <c r="J26" s="726">
        <f>J25/J15</f>
        <v/>
      </c>
      <c r="K26" s="726">
        <f>K25/K15</f>
        <v/>
      </c>
      <c r="L26" s="726">
        <f>L25/L15</f>
        <v/>
      </c>
      <c r="M26" s="726">
        <f>M25/M15</f>
        <v/>
      </c>
      <c r="N26" s="726">
        <f>N25/N15</f>
        <v/>
      </c>
      <c r="O26" s="726">
        <f>O25/O15</f>
        <v/>
      </c>
      <c r="P26" s="726">
        <f>P25/P15</f>
        <v/>
      </c>
      <c r="Q26" s="726">
        <f>Q25/Q15</f>
        <v/>
      </c>
      <c r="R26" s="726">
        <f>R25/R15</f>
        <v/>
      </c>
      <c r="S26" s="726">
        <f>S25/S15</f>
        <v/>
      </c>
      <c r="T26" s="726">
        <f>T25/T15</f>
        <v/>
      </c>
      <c r="U26" s="726">
        <f>U25/U15</f>
        <v/>
      </c>
      <c r="V26" s="726">
        <f>V25/V15</f>
        <v/>
      </c>
      <c r="W26" s="726">
        <f>W25/W15</f>
        <v/>
      </c>
      <c r="X26" s="726">
        <f>X25/X15</f>
        <v/>
      </c>
      <c r="Y26" s="726">
        <f>Y25/Y15</f>
        <v/>
      </c>
      <c r="Z26" s="726">
        <f>Z25/Z15</f>
        <v/>
      </c>
      <c r="AA26" s="726">
        <f>AA25/AA15</f>
        <v/>
      </c>
      <c r="AB26" s="726">
        <f>AB25/AB15</f>
        <v/>
      </c>
      <c r="AC26" s="726">
        <f>AC25/AC15</f>
        <v/>
      </c>
      <c r="AD26" s="726">
        <f>AD25/AD15</f>
        <v/>
      </c>
      <c r="AE26" s="726">
        <f>AE25/AE15</f>
        <v/>
      </c>
      <c r="AF26" s="726">
        <f>AF25/AF15</f>
        <v/>
      </c>
      <c r="AG26" s="726">
        <f>AG25/AG15</f>
        <v/>
      </c>
      <c r="AH26" s="726">
        <f>AH25/AH15</f>
        <v/>
      </c>
      <c r="AI26" s="726">
        <f>AI25/AI15</f>
        <v/>
      </c>
      <c r="AJ26" s="726">
        <f>AJ25/AJ15</f>
        <v/>
      </c>
      <c r="AK26" s="726">
        <f>AK25/AK15</f>
        <v/>
      </c>
      <c r="AL26" s="726">
        <f>AL25/AL15</f>
        <v/>
      </c>
      <c r="AM26" s="726">
        <f>AM25/AM15</f>
        <v/>
      </c>
      <c r="AN26" s="726">
        <f>AN25/AN15</f>
        <v/>
      </c>
      <c r="AO26" s="726">
        <f>AO25/AO15</f>
        <v/>
      </c>
      <c r="AP26" s="726">
        <f>AP25/AP15</f>
        <v/>
      </c>
      <c r="AQ26" s="726">
        <f>AQ25/AQ15</f>
        <v/>
      </c>
      <c r="AR26" s="726">
        <f>AR25/AR15</f>
        <v/>
      </c>
      <c r="AS26" s="726">
        <f>AS25/AS15</f>
        <v/>
      </c>
      <c r="AT26" s="726">
        <f>AT25/AT15</f>
        <v/>
      </c>
      <c r="AU26" s="726">
        <f>AU25/AU15</f>
        <v/>
      </c>
      <c r="AV26" s="726">
        <f>AV25/AV15</f>
        <v/>
      </c>
      <c r="AW26" s="726">
        <f>AW25/AW15</f>
        <v/>
      </c>
      <c r="AX26" s="726">
        <f>AX25/AX15</f>
        <v/>
      </c>
      <c r="AY26" s="726">
        <f>AY25/AY15</f>
        <v/>
      </c>
      <c r="AZ26" s="726">
        <f>AZ25/AZ15</f>
        <v/>
      </c>
      <c r="BA26" s="726">
        <f>BA25/BA15</f>
        <v/>
      </c>
      <c r="BB26" s="726">
        <f>BB25/BB15</f>
        <v/>
      </c>
      <c r="BC26" s="726">
        <f>BC25/BC15</f>
        <v/>
      </c>
      <c r="BD26" s="726">
        <f>BD25/BD15</f>
        <v/>
      </c>
      <c r="BE26" s="726">
        <f>BE25/BE15</f>
        <v/>
      </c>
      <c r="BF26" s="726">
        <f>BF25/BF15</f>
        <v/>
      </c>
      <c r="BG26" s="726">
        <f>BG25/BG15</f>
        <v/>
      </c>
      <c r="BH26" s="726">
        <f>BH25/BH15</f>
        <v/>
      </c>
      <c r="BI26" s="726">
        <f>BI25/BI15</f>
        <v/>
      </c>
      <c r="BJ26" s="726">
        <f>BJ25/BJ15</f>
        <v/>
      </c>
      <c r="BK26" s="726">
        <f>BK25/BK15</f>
        <v/>
      </c>
      <c r="BL26" s="726">
        <f>BL25/BL15</f>
        <v/>
      </c>
      <c r="BM26" s="726">
        <f>BM25/BM15</f>
        <v/>
      </c>
      <c r="BN26" s="726">
        <f>BN25/BN15</f>
        <v/>
      </c>
      <c r="BO26" s="726">
        <f>BO25/BO15</f>
        <v/>
      </c>
      <c r="BP26" s="726">
        <f>BP25/BP15</f>
        <v/>
      </c>
      <c r="BQ26" s="726">
        <f>BQ25/BQ15</f>
        <v/>
      </c>
      <c r="BR26" s="726">
        <f>BR25/BR15</f>
        <v/>
      </c>
      <c r="BS26" s="726">
        <f>BS25/BS15</f>
        <v/>
      </c>
      <c r="BT26" s="726">
        <f>BT25/BT15</f>
        <v/>
      </c>
      <c r="BU26" s="726">
        <f>BU25/BU15</f>
        <v/>
      </c>
      <c r="BV26" s="726">
        <f>BV25/BV15</f>
        <v/>
      </c>
      <c r="BW26" s="726">
        <f>BW25/BW15</f>
        <v/>
      </c>
      <c r="BX26" s="726">
        <f>BX25/BX15</f>
        <v/>
      </c>
      <c r="BY26" s="726">
        <f>BY25/BY15</f>
        <v/>
      </c>
      <c r="BZ26" s="726">
        <f>BZ25/BZ15</f>
        <v/>
      </c>
      <c r="CA26" s="726">
        <f>CA25/CA15</f>
        <v/>
      </c>
      <c r="CB26" s="726">
        <f>CB25/CB15</f>
        <v/>
      </c>
      <c r="CC26" s="726">
        <f>CC25/CC15</f>
        <v/>
      </c>
      <c r="CD26" s="726">
        <f>CD25/CD15</f>
        <v/>
      </c>
      <c r="CE26" s="726">
        <f>CE25/CE15</f>
        <v/>
      </c>
      <c r="CF26" s="726">
        <f>CF25/CF15</f>
        <v/>
      </c>
      <c r="CG26" s="726">
        <f>CG25/CG15</f>
        <v/>
      </c>
      <c r="CH26" s="726">
        <f>CH25/CH15</f>
        <v/>
      </c>
      <c r="CI26" s="726">
        <f>CI25/CI15</f>
        <v/>
      </c>
      <c r="CJ26" s="726">
        <f>CJ25/CJ15</f>
        <v/>
      </c>
      <c r="CK26" s="726">
        <f>CK25/CK15</f>
        <v/>
      </c>
      <c r="CL26" s="726">
        <f>CL25/CL15</f>
        <v/>
      </c>
      <c r="CM26" s="726">
        <f>CM25/CM15</f>
        <v/>
      </c>
      <c r="CN26" s="726">
        <f>CN25/CN15</f>
        <v/>
      </c>
      <c r="CO26" s="726">
        <f>CO25/CO15</f>
        <v/>
      </c>
      <c r="CP26" s="726">
        <f>CP25/CP15</f>
        <v/>
      </c>
      <c r="CQ26" s="726">
        <f>CQ25/CQ15</f>
        <v/>
      </c>
      <c r="CR26" s="726">
        <f>CR25/CR15</f>
        <v/>
      </c>
      <c r="CS26" s="726">
        <f>CS25/CS15</f>
        <v/>
      </c>
      <c r="CT26" s="726">
        <f>CT25/CT15</f>
        <v/>
      </c>
      <c r="CU26" s="726">
        <f>CU25/CU15</f>
        <v/>
      </c>
      <c r="CV26" s="726">
        <f>CV25/CV15</f>
        <v/>
      </c>
      <c r="CW26" s="726">
        <f>CW25/CW15</f>
        <v/>
      </c>
      <c r="CX26" s="726">
        <f>CX25/CX15</f>
        <v/>
      </c>
      <c r="CY26" s="726">
        <f>CY25/CY15</f>
        <v/>
      </c>
      <c r="CZ26" s="726">
        <f>CZ25/CZ15</f>
        <v/>
      </c>
      <c r="DA26" s="726">
        <f>DA25/DA15</f>
        <v/>
      </c>
      <c r="DB26" s="726">
        <f>DB25/DB15</f>
        <v/>
      </c>
      <c r="DC26" s="726">
        <f>DC25/DC15</f>
        <v/>
      </c>
      <c r="DD26" s="726">
        <f>DD25/DD15</f>
        <v/>
      </c>
      <c r="DE26" s="726">
        <f>DE25/DE15</f>
        <v/>
      </c>
      <c r="DF26" s="726">
        <f>DF25/DF15</f>
        <v/>
      </c>
      <c r="DG26" s="726">
        <f>DG25/DG15</f>
        <v/>
      </c>
      <c r="DH26" s="726">
        <f>DH25/DH15</f>
        <v/>
      </c>
      <c r="DI26" s="726">
        <f>DI25/DI15</f>
        <v/>
      </c>
      <c r="DJ26" s="726">
        <f>DJ25/DJ15</f>
        <v/>
      </c>
      <c r="DK26" s="726">
        <f>DK25/DK15</f>
        <v/>
      </c>
      <c r="DL26" s="726">
        <f>DL25/DL15</f>
        <v/>
      </c>
      <c r="DM26" s="726">
        <f>DM25/DM15</f>
        <v/>
      </c>
      <c r="DN26" s="726">
        <f>DN25/DN15</f>
        <v/>
      </c>
      <c r="DO26" s="726">
        <f>DO25/DO15</f>
        <v/>
      </c>
      <c r="DP26" s="726">
        <f>DP25/DP15</f>
        <v/>
      </c>
    </row>
    <row r="27" ht="15.75" customHeight="1" thickBot="1">
      <c r="B27" s="712" t="n"/>
      <c r="C27" s="727" t="n"/>
      <c r="D27" s="727" t="n"/>
      <c r="E27" s="727" t="n"/>
      <c r="F27" s="727" t="n"/>
      <c r="G27" s="727" t="n"/>
      <c r="H27" s="727" t="n"/>
      <c r="I27" s="727" t="n"/>
      <c r="J27" s="727" t="n"/>
      <c r="K27" s="727" t="n"/>
      <c r="L27" s="727" t="n"/>
      <c r="M27" s="727" t="n"/>
      <c r="N27" s="727" t="n"/>
      <c r="O27" s="727" t="n"/>
      <c r="P27" s="727" t="n"/>
      <c r="Q27" s="727" t="n"/>
      <c r="R27" s="727" t="n"/>
      <c r="S27" s="727" t="n"/>
      <c r="T27" s="727" t="n"/>
      <c r="U27" s="727" t="n"/>
      <c r="V27" s="727" t="n"/>
      <c r="W27" s="727" t="n"/>
      <c r="X27" s="727" t="n"/>
      <c r="Y27" s="727" t="n"/>
      <c r="Z27" s="727" t="n"/>
      <c r="AA27" s="727" t="n"/>
      <c r="AB27" s="727" t="n"/>
      <c r="AC27" s="727" t="n"/>
      <c r="AD27" s="727" t="n"/>
      <c r="AE27" s="727" t="n"/>
      <c r="AF27" s="727" t="n"/>
      <c r="AG27" s="727" t="n"/>
      <c r="AH27" s="727" t="n"/>
      <c r="AI27" s="727" t="n"/>
      <c r="AJ27" s="727" t="n"/>
      <c r="AK27" s="727" t="n"/>
      <c r="AL27" s="727" t="n"/>
      <c r="AM27" s="727" t="n"/>
      <c r="AN27" s="727" t="n"/>
      <c r="AO27" s="727" t="n"/>
      <c r="AP27" s="727" t="n"/>
      <c r="AQ27" s="727" t="n"/>
      <c r="AR27" s="727" t="n"/>
      <c r="AS27" s="727" t="n"/>
      <c r="AT27" s="727" t="n"/>
      <c r="AU27" s="727" t="n"/>
      <c r="AV27" s="727" t="n"/>
      <c r="AW27" s="727" t="n"/>
      <c r="AX27" s="727" t="n"/>
      <c r="AY27" s="727" t="n"/>
      <c r="AZ27" s="727" t="n"/>
      <c r="BA27" s="727" t="n"/>
      <c r="BB27" s="727" t="n"/>
      <c r="BC27" s="727" t="n"/>
      <c r="BD27" s="727" t="n"/>
      <c r="BE27" s="727" t="n"/>
      <c r="BF27" s="727" t="n"/>
      <c r="BG27" s="727" t="n"/>
      <c r="BH27" s="727" t="n"/>
      <c r="BI27" s="727" t="n"/>
      <c r="BJ27" s="727" t="n"/>
      <c r="BK27" s="727" t="n"/>
      <c r="BL27" s="727" t="n"/>
      <c r="BM27" s="727" t="n"/>
      <c r="BN27" s="727" t="n"/>
      <c r="BO27" s="727" t="n"/>
      <c r="BP27" s="727" t="n"/>
      <c r="BQ27" s="727" t="n"/>
      <c r="BR27" s="727" t="n"/>
      <c r="BS27" s="727" t="n"/>
      <c r="BT27" s="727" t="n"/>
      <c r="BU27" s="727" t="n"/>
      <c r="BV27" s="727" t="n"/>
      <c r="BW27" s="727" t="n"/>
      <c r="BX27" s="727" t="n"/>
      <c r="BY27" s="727" t="n"/>
      <c r="BZ27" s="727" t="n"/>
      <c r="CA27" s="727" t="n"/>
      <c r="CB27" s="727" t="n"/>
      <c r="CC27" s="727" t="n"/>
      <c r="CD27" s="727" t="n"/>
      <c r="CE27" s="727" t="n"/>
      <c r="CF27" s="727" t="n"/>
      <c r="CG27" s="727" t="n"/>
      <c r="CH27" s="727" t="n"/>
      <c r="CI27" s="727" t="n"/>
      <c r="CJ27" s="727" t="n"/>
      <c r="CK27" s="727" t="n"/>
      <c r="CL27" s="727" t="n"/>
      <c r="CM27" s="727" t="n"/>
      <c r="CN27" s="727" t="n"/>
      <c r="CO27" s="727" t="n"/>
      <c r="CP27" s="727" t="n"/>
      <c r="CQ27" s="727" t="n"/>
      <c r="CR27" s="727" t="n"/>
      <c r="CS27" s="727" t="n"/>
      <c r="CT27" s="727" t="n"/>
      <c r="CU27" s="727" t="n"/>
      <c r="CV27" s="727" t="n"/>
      <c r="CW27" s="727" t="n"/>
      <c r="CX27" s="727" t="n"/>
      <c r="CY27" s="727" t="n"/>
      <c r="CZ27" s="727" t="n"/>
      <c r="DA27" s="727" t="n"/>
      <c r="DB27" s="727" t="n"/>
      <c r="DC27" s="727" t="n"/>
      <c r="DD27" s="727" t="n"/>
      <c r="DE27" s="727" t="n"/>
      <c r="DF27" s="727" t="n"/>
      <c r="DG27" s="727" t="n"/>
      <c r="DH27" s="727" t="n"/>
      <c r="DI27" s="727" t="n"/>
      <c r="DJ27" s="727" t="n"/>
      <c r="DK27" s="727" t="n"/>
      <c r="DL27" s="727" t="n"/>
      <c r="DM27" s="727" t="n"/>
      <c r="DN27" s="727" t="n"/>
      <c r="DO27" s="727" t="n"/>
      <c r="DP27" s="727" t="n"/>
    </row>
    <row r="28" ht="15.75" customHeight="1" thickTop="1">
      <c r="A28" s="714" t="n"/>
      <c r="B28" s="715" t="n"/>
      <c r="C28" s="1505" t="n"/>
      <c r="D28" s="1505" t="n"/>
      <c r="E28" s="1505" t="n"/>
      <c r="F28" s="1505" t="n"/>
      <c r="G28" s="1505" t="n"/>
      <c r="H28" s="1505" t="n"/>
      <c r="I28" s="1505" t="n"/>
      <c r="J28" s="1505" t="n"/>
      <c r="K28" s="1505" t="n"/>
      <c r="L28" s="1505" t="n"/>
      <c r="M28" s="1505" t="n"/>
      <c r="N28" s="1505" t="n"/>
      <c r="O28" s="1505" t="n"/>
      <c r="P28" s="1507">
        <f>SUM(C28:O28)</f>
        <v/>
      </c>
      <c r="Q28" s="1505" t="n"/>
      <c r="R28" s="1505" t="n"/>
      <c r="S28" s="1505" t="n"/>
      <c r="T28" s="1505" t="n"/>
      <c r="U28" s="1505" t="n"/>
      <c r="V28" s="1505" t="n"/>
      <c r="W28" s="1505" t="n"/>
      <c r="X28" s="1505" t="n"/>
      <c r="Y28" s="1505" t="n"/>
      <c r="Z28" s="1505" t="n"/>
      <c r="AA28" s="1505" t="n"/>
      <c r="AB28" s="1505" t="n"/>
      <c r="AC28" s="1507">
        <f>SUM(Q28:AB28)</f>
        <v/>
      </c>
      <c r="AD28" s="1505" t="n"/>
      <c r="AE28" s="1505" t="n"/>
      <c r="AF28" s="1505" t="n"/>
      <c r="AG28" s="1505" t="n"/>
      <c r="AH28" s="1505" t="n"/>
      <c r="AI28" s="1505" t="n"/>
      <c r="AJ28" s="1505" t="n"/>
      <c r="AK28" s="1505" t="n"/>
      <c r="AL28" s="1505" t="n"/>
      <c r="AM28" s="1505" t="n"/>
      <c r="AN28" s="1505" t="n"/>
      <c r="AO28" s="1505" t="n"/>
      <c r="AP28" s="1507">
        <f>SUM(AD28:AO28)</f>
        <v/>
      </c>
      <c r="AQ28" s="1505" t="n"/>
      <c r="AR28" s="1505" t="n"/>
      <c r="AS28" s="1505" t="n"/>
      <c r="AT28" s="1505" t="n"/>
      <c r="AU28" s="1505" t="n"/>
      <c r="AV28" s="1505" t="n"/>
      <c r="AW28" s="1505" t="n"/>
      <c r="AX28" s="1505" t="n"/>
      <c r="AY28" s="1505" t="n"/>
      <c r="AZ28" s="1505" t="n"/>
      <c r="BA28" s="1505" t="n"/>
      <c r="BB28" s="1505" t="n"/>
      <c r="BC28" s="1507">
        <f>SUM(AQ28:BB28)</f>
        <v/>
      </c>
      <c r="BD28" s="1505" t="n"/>
      <c r="BE28" s="1505" t="n"/>
      <c r="BF28" s="1505" t="n"/>
      <c r="BG28" s="1505" t="n"/>
      <c r="BH28" s="1505" t="n"/>
      <c r="BI28" s="1505" t="n"/>
      <c r="BJ28" s="1505" t="n"/>
      <c r="BK28" s="1505" t="n"/>
      <c r="BL28" s="1505" t="n"/>
      <c r="BM28" s="1505" t="n"/>
      <c r="BN28" s="1505" t="n"/>
      <c r="BO28" s="1505" t="n"/>
      <c r="BP28" s="1507">
        <f>SUM(BD28:BO28)</f>
        <v/>
      </c>
      <c r="BQ28" s="1505" t="n"/>
      <c r="BR28" s="1505" t="n"/>
      <c r="BS28" s="1505" t="n"/>
      <c r="BT28" s="1505" t="n"/>
      <c r="BU28" s="1505" t="n"/>
      <c r="BV28" s="1505" t="n"/>
      <c r="BW28" s="1505" t="n"/>
      <c r="BX28" s="1505" t="n"/>
      <c r="BY28" s="1505" t="n"/>
      <c r="BZ28" s="1505" t="n"/>
      <c r="CA28" s="1505" t="n"/>
      <c r="CB28" s="1505" t="n"/>
      <c r="CC28" s="1507">
        <f>SUM(BQ28:CB28)</f>
        <v/>
      </c>
      <c r="CD28" s="1505" t="n"/>
      <c r="CE28" s="1505" t="n"/>
      <c r="CF28" s="1505" t="n"/>
      <c r="CG28" s="1505" t="n"/>
      <c r="CH28" s="1505" t="n"/>
      <c r="CI28" s="1505" t="n"/>
      <c r="CJ28" s="1505" t="n"/>
      <c r="CK28" s="1505" t="n"/>
      <c r="CL28" s="1505" t="n"/>
      <c r="CM28" s="1505" t="n"/>
      <c r="CN28" s="1505" t="n"/>
      <c r="CO28" s="1505" t="n"/>
      <c r="CP28" s="1507">
        <f>SUM(CD28:CO28)</f>
        <v/>
      </c>
      <c r="CQ28" s="1505" t="n"/>
      <c r="CR28" s="1505" t="n"/>
      <c r="CS28" s="1505" t="n"/>
      <c r="CT28" s="1505" t="n"/>
      <c r="CU28" s="1505" t="n"/>
      <c r="CV28" s="1505" t="n"/>
      <c r="CW28" s="1505" t="n"/>
      <c r="CX28" s="1505" t="n"/>
      <c r="CY28" s="1505" t="n"/>
      <c r="CZ28" s="1505" t="n"/>
      <c r="DA28" s="1505" t="n"/>
      <c r="DB28" s="1505" t="n"/>
      <c r="DC28" s="1507">
        <f>SUM(CQ28:DB28)</f>
        <v/>
      </c>
      <c r="DD28" s="1505" t="n"/>
      <c r="DE28" s="1505" t="n"/>
      <c r="DF28" s="1505" t="n"/>
      <c r="DG28" s="1505" t="n"/>
      <c r="DH28" s="1505" t="n"/>
      <c r="DI28" s="1505" t="n"/>
      <c r="DJ28" s="1505" t="n"/>
      <c r="DK28" s="1505" t="n"/>
      <c r="DL28" s="1505" t="n"/>
      <c r="DM28" s="1505" t="n"/>
      <c r="DN28" s="1505" t="n"/>
      <c r="DO28" s="1505" t="n"/>
      <c r="DP28" s="1507">
        <f>SUM(DD28:DO28)</f>
        <v/>
      </c>
    </row>
    <row r="29">
      <c r="A29" s="714" t="n"/>
      <c r="B29" s="719" t="n"/>
      <c r="C29" s="1505" t="n"/>
      <c r="D29" s="1505" t="n"/>
      <c r="E29" s="1505" t="n"/>
      <c r="F29" s="1505" t="n"/>
      <c r="G29" s="1505" t="n"/>
      <c r="H29" s="1505" t="n"/>
      <c r="I29" s="1505" t="n"/>
      <c r="J29" s="1505" t="n"/>
      <c r="K29" s="1505" t="n"/>
      <c r="L29" s="1505" t="n"/>
      <c r="M29" s="1505" t="n"/>
      <c r="N29" s="1505" t="n"/>
      <c r="O29" s="1505" t="n"/>
      <c r="P29" s="1507">
        <f>SUM(C29:O29)</f>
        <v/>
      </c>
      <c r="Q29" s="1505" t="n"/>
      <c r="R29" s="1505" t="n"/>
      <c r="S29" s="1505" t="n"/>
      <c r="T29" s="1505" t="n"/>
      <c r="U29" s="1505" t="n"/>
      <c r="V29" s="1505" t="n"/>
      <c r="W29" s="1505" t="n"/>
      <c r="X29" s="1505" t="n"/>
      <c r="Y29" s="1505" t="n"/>
      <c r="Z29" s="1505" t="n"/>
      <c r="AA29" s="1505" t="n"/>
      <c r="AB29" s="1505" t="n"/>
      <c r="AC29" s="1507">
        <f>SUM(Q29:AB29)</f>
        <v/>
      </c>
      <c r="AD29" s="1505" t="n"/>
      <c r="AE29" s="1505" t="n"/>
      <c r="AF29" s="1505" t="n"/>
      <c r="AG29" s="1505" t="n"/>
      <c r="AH29" s="1505" t="n"/>
      <c r="AI29" s="1505" t="n"/>
      <c r="AJ29" s="1505" t="n"/>
      <c r="AK29" s="1505" t="n"/>
      <c r="AL29" s="1505" t="n"/>
      <c r="AM29" s="1505" t="n"/>
      <c r="AN29" s="1505" t="n"/>
      <c r="AO29" s="1505" t="n"/>
      <c r="AP29" s="1507">
        <f>SUM(AD29:AO29)</f>
        <v/>
      </c>
      <c r="AQ29" s="1505" t="n"/>
      <c r="AR29" s="1505" t="n"/>
      <c r="AS29" s="1505" t="n"/>
      <c r="AT29" s="1505" t="n"/>
      <c r="AU29" s="1505" t="n"/>
      <c r="AV29" s="1505" t="n"/>
      <c r="AW29" s="1505" t="n"/>
      <c r="AX29" s="1505" t="n"/>
      <c r="AY29" s="1505" t="n"/>
      <c r="AZ29" s="1505" t="n"/>
      <c r="BA29" s="1505" t="n"/>
      <c r="BB29" s="1505" t="n"/>
      <c r="BC29" s="1507">
        <f>SUM(AQ29:BB29)</f>
        <v/>
      </c>
      <c r="BD29" s="1505" t="n"/>
      <c r="BE29" s="1505" t="n"/>
      <c r="BF29" s="1505" t="n"/>
      <c r="BG29" s="1505" t="n"/>
      <c r="BH29" s="1505" t="n"/>
      <c r="BI29" s="1505" t="n"/>
      <c r="BJ29" s="1505" t="n"/>
      <c r="BK29" s="1505" t="n"/>
      <c r="BL29" s="1505" t="n"/>
      <c r="BM29" s="1505" t="n"/>
      <c r="BN29" s="1505" t="n"/>
      <c r="BO29" s="1505" t="n"/>
      <c r="BP29" s="1507">
        <f>SUM(BD29:BO29)</f>
        <v/>
      </c>
      <c r="BQ29" s="1505" t="n"/>
      <c r="BR29" s="1505" t="n"/>
      <c r="BS29" s="1505" t="n"/>
      <c r="BT29" s="1505" t="n"/>
      <c r="BU29" s="1505" t="n"/>
      <c r="BV29" s="1505" t="n"/>
      <c r="BW29" s="1505" t="n"/>
      <c r="BX29" s="1505" t="n"/>
      <c r="BY29" s="1505" t="n"/>
      <c r="BZ29" s="1505" t="n"/>
      <c r="CA29" s="1505" t="n"/>
      <c r="CB29" s="1505" t="n"/>
      <c r="CC29" s="1507">
        <f>SUM(BQ29:CB29)</f>
        <v/>
      </c>
      <c r="CD29" s="1505" t="n"/>
      <c r="CE29" s="1505" t="n"/>
      <c r="CF29" s="1505" t="n"/>
      <c r="CG29" s="1505" t="n"/>
      <c r="CH29" s="1505" t="n"/>
      <c r="CI29" s="1505" t="n"/>
      <c r="CJ29" s="1505" t="n"/>
      <c r="CK29" s="1505" t="n"/>
      <c r="CL29" s="1505" t="n"/>
      <c r="CM29" s="1505" t="n"/>
      <c r="CN29" s="1505" t="n"/>
      <c r="CO29" s="1505" t="n"/>
      <c r="CP29" s="1507">
        <f>SUM(CD29:CO29)</f>
        <v/>
      </c>
      <c r="CQ29" s="1505" t="n"/>
      <c r="CR29" s="1505" t="n"/>
      <c r="CS29" s="1505" t="n"/>
      <c r="CT29" s="1505" t="n"/>
      <c r="CU29" s="1505" t="n"/>
      <c r="CV29" s="1505" t="n"/>
      <c r="CW29" s="1505" t="n"/>
      <c r="CX29" s="1505" t="n"/>
      <c r="CY29" s="1505" t="n"/>
      <c r="CZ29" s="1505" t="n"/>
      <c r="DA29" s="1505" t="n"/>
      <c r="DB29" s="1505" t="n"/>
      <c r="DC29" s="1507">
        <f>SUM(CQ29:DB29)</f>
        <v/>
      </c>
      <c r="DD29" s="1505" t="n"/>
      <c r="DE29" s="1505" t="n"/>
      <c r="DF29" s="1505" t="n"/>
      <c r="DG29" s="1505" t="n"/>
      <c r="DH29" s="1505" t="n"/>
      <c r="DI29" s="1505" t="n"/>
      <c r="DJ29" s="1505" t="n"/>
      <c r="DK29" s="1505" t="n"/>
      <c r="DL29" s="1505" t="n"/>
      <c r="DM29" s="1505" t="n"/>
      <c r="DN29" s="1505" t="n"/>
      <c r="DO29" s="1505" t="n"/>
      <c r="DP29" s="1507">
        <f>SUM(DD29:DO29)</f>
        <v/>
      </c>
    </row>
    <row r="30">
      <c r="A30" s="714" t="n"/>
      <c r="B30" s="719" t="n"/>
      <c r="C30" s="1505" t="n"/>
      <c r="D30" s="1505" t="n"/>
      <c r="E30" s="1505" t="n"/>
      <c r="F30" s="1505" t="n"/>
      <c r="G30" s="1505" t="n"/>
      <c r="H30" s="1505" t="n"/>
      <c r="I30" s="1505" t="n"/>
      <c r="J30" s="1505" t="n"/>
      <c r="K30" s="1505" t="n"/>
      <c r="L30" s="1505" t="n"/>
      <c r="M30" s="1505" t="n"/>
      <c r="N30" s="1505" t="n"/>
      <c r="O30" s="1505" t="n"/>
      <c r="P30" s="1507">
        <f>SUM(C30:O30)</f>
        <v/>
      </c>
      <c r="Q30" s="1505" t="n"/>
      <c r="R30" s="1505" t="n"/>
      <c r="S30" s="1505" t="n"/>
      <c r="T30" s="1505" t="n"/>
      <c r="U30" s="1505" t="n"/>
      <c r="V30" s="1505" t="n"/>
      <c r="W30" s="1505" t="n"/>
      <c r="X30" s="1505" t="n"/>
      <c r="Y30" s="1505" t="n"/>
      <c r="Z30" s="1505" t="n"/>
      <c r="AA30" s="1505" t="n"/>
      <c r="AB30" s="1505" t="n"/>
      <c r="AC30" s="1507">
        <f>SUM(Q30:AB30)</f>
        <v/>
      </c>
      <c r="AD30" s="1505" t="n"/>
      <c r="AE30" s="1505" t="n"/>
      <c r="AF30" s="1505" t="n"/>
      <c r="AG30" s="1505" t="n"/>
      <c r="AH30" s="1505" t="n"/>
      <c r="AI30" s="1505" t="n"/>
      <c r="AJ30" s="1505" t="n"/>
      <c r="AK30" s="1505" t="n"/>
      <c r="AL30" s="1505" t="n"/>
      <c r="AM30" s="1505" t="n"/>
      <c r="AN30" s="1505" t="n"/>
      <c r="AO30" s="1505" t="n"/>
      <c r="AP30" s="1507">
        <f>SUM(AD30:AO30)</f>
        <v/>
      </c>
      <c r="AQ30" s="1505" t="n"/>
      <c r="AR30" s="1505" t="n"/>
      <c r="AS30" s="1505" t="n"/>
      <c r="AT30" s="1505" t="n"/>
      <c r="AU30" s="1505" t="n"/>
      <c r="AV30" s="1505" t="n"/>
      <c r="AW30" s="1505" t="n"/>
      <c r="AX30" s="1505" t="n"/>
      <c r="AY30" s="1505" t="n"/>
      <c r="AZ30" s="1505" t="n"/>
      <c r="BA30" s="1505" t="n"/>
      <c r="BB30" s="1505" t="n"/>
      <c r="BC30" s="1507">
        <f>SUM(AQ30:BB30)</f>
        <v/>
      </c>
      <c r="BD30" s="1505" t="n"/>
      <c r="BE30" s="1505" t="n"/>
      <c r="BF30" s="1505" t="n"/>
      <c r="BG30" s="1505" t="n"/>
      <c r="BH30" s="1505" t="n"/>
      <c r="BI30" s="1505" t="n"/>
      <c r="BJ30" s="1505" t="n"/>
      <c r="BK30" s="1505" t="n"/>
      <c r="BL30" s="1505" t="n"/>
      <c r="BM30" s="1505" t="n"/>
      <c r="BN30" s="1505" t="n"/>
      <c r="BO30" s="1505" t="n"/>
      <c r="BP30" s="1507">
        <f>SUM(BD30:BO30)</f>
        <v/>
      </c>
      <c r="BQ30" s="1505" t="n"/>
      <c r="BR30" s="1505" t="n"/>
      <c r="BS30" s="1505" t="n"/>
      <c r="BT30" s="1505" t="n"/>
      <c r="BU30" s="1505" t="n"/>
      <c r="BV30" s="1505" t="n"/>
      <c r="BW30" s="1505" t="n"/>
      <c r="BX30" s="1505" t="n"/>
      <c r="BY30" s="1505" t="n"/>
      <c r="BZ30" s="1505" t="n"/>
      <c r="CA30" s="1505" t="n"/>
      <c r="CB30" s="1505" t="n"/>
      <c r="CC30" s="1507">
        <f>SUM(BQ30:CB30)</f>
        <v/>
      </c>
      <c r="CD30" s="1505" t="n"/>
      <c r="CE30" s="1505" t="n"/>
      <c r="CF30" s="1505" t="n"/>
      <c r="CG30" s="1505" t="n"/>
      <c r="CH30" s="1505" t="n"/>
      <c r="CI30" s="1505" t="n"/>
      <c r="CJ30" s="1505" t="n"/>
      <c r="CK30" s="1505" t="n"/>
      <c r="CL30" s="1505" t="n"/>
      <c r="CM30" s="1505" t="n"/>
      <c r="CN30" s="1505" t="n"/>
      <c r="CO30" s="1505" t="n"/>
      <c r="CP30" s="1507">
        <f>SUM(CD30:CO30)</f>
        <v/>
      </c>
      <c r="CQ30" s="1505" t="n"/>
      <c r="CR30" s="1505" t="n"/>
      <c r="CS30" s="1505" t="n"/>
      <c r="CT30" s="1505" t="n"/>
      <c r="CU30" s="1505" t="n"/>
      <c r="CV30" s="1505" t="n"/>
      <c r="CW30" s="1505" t="n"/>
      <c r="CX30" s="1505" t="n"/>
      <c r="CY30" s="1505" t="n"/>
      <c r="CZ30" s="1505" t="n"/>
      <c r="DA30" s="1505" t="n"/>
      <c r="DB30" s="1505" t="n"/>
      <c r="DC30" s="1507">
        <f>SUM(CQ30:DB30)</f>
        <v/>
      </c>
      <c r="DD30" s="1505" t="n"/>
      <c r="DE30" s="1505" t="n"/>
      <c r="DF30" s="1505" t="n"/>
      <c r="DG30" s="1505" t="n"/>
      <c r="DH30" s="1505" t="n"/>
      <c r="DI30" s="1505" t="n"/>
      <c r="DJ30" s="1505" t="n"/>
      <c r="DK30" s="1505" t="n"/>
      <c r="DL30" s="1505" t="n"/>
      <c r="DM30" s="1505" t="n"/>
      <c r="DN30" s="1505" t="n"/>
      <c r="DO30" s="1505" t="n"/>
      <c r="DP30" s="1507">
        <f>SUM(DD30:DO30)</f>
        <v/>
      </c>
    </row>
    <row r="31">
      <c r="A31" s="714" t="n"/>
      <c r="B31" s="719" t="n"/>
      <c r="C31" s="1505" t="n"/>
      <c r="D31" s="1505" t="n"/>
      <c r="E31" s="1505" t="n"/>
      <c r="F31" s="1505" t="n"/>
      <c r="G31" s="1505" t="n"/>
      <c r="H31" s="1505" t="n"/>
      <c r="I31" s="1505" t="n"/>
      <c r="J31" s="1505" t="n"/>
      <c r="K31" s="1505" t="n"/>
      <c r="L31" s="1505" t="n"/>
      <c r="M31" s="1505" t="n"/>
      <c r="N31" s="1505" t="n"/>
      <c r="O31" s="1505" t="n"/>
      <c r="P31" s="1507">
        <f>SUM(C31:O31)</f>
        <v/>
      </c>
      <c r="Q31" s="1505" t="n"/>
      <c r="R31" s="1505" t="n"/>
      <c r="S31" s="1505" t="n"/>
      <c r="T31" s="1505" t="n"/>
      <c r="U31" s="1505" t="n"/>
      <c r="V31" s="1505" t="n"/>
      <c r="W31" s="1505" t="n"/>
      <c r="X31" s="1505" t="n"/>
      <c r="Y31" s="1505" t="n"/>
      <c r="Z31" s="1505" t="n"/>
      <c r="AA31" s="1505" t="n"/>
      <c r="AB31" s="1505" t="n"/>
      <c r="AC31" s="1507">
        <f>SUM(Q31:AB31)</f>
        <v/>
      </c>
      <c r="AD31" s="1505" t="n"/>
      <c r="AE31" s="1505" t="n"/>
      <c r="AF31" s="1505" t="n"/>
      <c r="AG31" s="1505" t="n"/>
      <c r="AH31" s="1505" t="n"/>
      <c r="AI31" s="1505" t="n"/>
      <c r="AJ31" s="1505" t="n"/>
      <c r="AK31" s="1505" t="n"/>
      <c r="AL31" s="1505" t="n"/>
      <c r="AM31" s="1505" t="n"/>
      <c r="AN31" s="1505" t="n"/>
      <c r="AO31" s="1505" t="n"/>
      <c r="AP31" s="1507">
        <f>SUM(AD31:AO31)</f>
        <v/>
      </c>
      <c r="AQ31" s="1505" t="n"/>
      <c r="AR31" s="1505" t="n"/>
      <c r="AS31" s="1505" t="n"/>
      <c r="AT31" s="1505" t="n"/>
      <c r="AU31" s="1505" t="n"/>
      <c r="AV31" s="1505" t="n"/>
      <c r="AW31" s="1505" t="n"/>
      <c r="AX31" s="1505" t="n"/>
      <c r="AY31" s="1505" t="n"/>
      <c r="AZ31" s="1505" t="n"/>
      <c r="BA31" s="1505" t="n"/>
      <c r="BB31" s="1505" t="n"/>
      <c r="BC31" s="1507">
        <f>SUM(AQ31:BB31)</f>
        <v/>
      </c>
      <c r="BD31" s="1505" t="n"/>
      <c r="BE31" s="1505" t="n"/>
      <c r="BF31" s="1505" t="n"/>
      <c r="BG31" s="1505" t="n"/>
      <c r="BH31" s="1505" t="n"/>
      <c r="BI31" s="1505" t="n"/>
      <c r="BJ31" s="1505" t="n"/>
      <c r="BK31" s="1505" t="n"/>
      <c r="BL31" s="1505" t="n"/>
      <c r="BM31" s="1505" t="n"/>
      <c r="BN31" s="1505" t="n"/>
      <c r="BO31" s="1505" t="n"/>
      <c r="BP31" s="1507">
        <f>SUM(BD31:BO31)</f>
        <v/>
      </c>
      <c r="BQ31" s="1505" t="n"/>
      <c r="BR31" s="1505" t="n"/>
      <c r="BS31" s="1505" t="n"/>
      <c r="BT31" s="1505" t="n"/>
      <c r="BU31" s="1505" t="n"/>
      <c r="BV31" s="1505" t="n"/>
      <c r="BW31" s="1505" t="n"/>
      <c r="BX31" s="1505" t="n"/>
      <c r="BY31" s="1505" t="n"/>
      <c r="BZ31" s="1505" t="n"/>
      <c r="CA31" s="1505" t="n"/>
      <c r="CB31" s="1505" t="n"/>
      <c r="CC31" s="1507">
        <f>SUM(BQ31:CB31)</f>
        <v/>
      </c>
      <c r="CD31" s="1505" t="n"/>
      <c r="CE31" s="1505" t="n"/>
      <c r="CF31" s="1505" t="n"/>
      <c r="CG31" s="1505" t="n"/>
      <c r="CH31" s="1505" t="n"/>
      <c r="CI31" s="1505" t="n"/>
      <c r="CJ31" s="1505" t="n"/>
      <c r="CK31" s="1505" t="n"/>
      <c r="CL31" s="1505" t="n"/>
      <c r="CM31" s="1505" t="n"/>
      <c r="CN31" s="1505" t="n"/>
      <c r="CO31" s="1505" t="n"/>
      <c r="CP31" s="1507">
        <f>SUM(CD31:CO31)</f>
        <v/>
      </c>
      <c r="CQ31" s="1505" t="n"/>
      <c r="CR31" s="1505" t="n"/>
      <c r="CS31" s="1505" t="n"/>
      <c r="CT31" s="1505" t="n"/>
      <c r="CU31" s="1505" t="n"/>
      <c r="CV31" s="1505" t="n"/>
      <c r="CW31" s="1505" t="n"/>
      <c r="CX31" s="1505" t="n"/>
      <c r="CY31" s="1505" t="n"/>
      <c r="CZ31" s="1505" t="n"/>
      <c r="DA31" s="1505" t="n"/>
      <c r="DB31" s="1505" t="n"/>
      <c r="DC31" s="1507">
        <f>SUM(CQ31:DB31)</f>
        <v/>
      </c>
      <c r="DD31" s="1505" t="n"/>
      <c r="DE31" s="1505" t="n"/>
      <c r="DF31" s="1505" t="n"/>
      <c r="DG31" s="1505" t="n"/>
      <c r="DH31" s="1505" t="n"/>
      <c r="DI31" s="1505" t="n"/>
      <c r="DJ31" s="1505" t="n"/>
      <c r="DK31" s="1505" t="n"/>
      <c r="DL31" s="1505" t="n"/>
      <c r="DM31" s="1505" t="n"/>
      <c r="DN31" s="1505" t="n"/>
      <c r="DO31" s="1505" t="n"/>
      <c r="DP31" s="1507">
        <f>SUM(DD31:DO31)</f>
        <v/>
      </c>
    </row>
    <row r="32" hidden="1">
      <c r="A32" s="714" t="n"/>
      <c r="B32" s="719" t="n"/>
      <c r="C32" s="1505" t="n"/>
      <c r="D32" s="1505" t="n"/>
      <c r="E32" s="1505" t="n"/>
      <c r="F32" s="1505" t="n"/>
      <c r="G32" s="1505" t="n"/>
      <c r="H32" s="1505" t="n"/>
      <c r="I32" s="1505" t="n"/>
      <c r="J32" s="1505" t="n"/>
      <c r="K32" s="1505" t="n"/>
      <c r="L32" s="1505" t="n"/>
      <c r="M32" s="1505" t="n"/>
      <c r="N32" s="1505" t="n"/>
      <c r="O32" s="1505" t="n"/>
      <c r="P32" s="1507">
        <f>SUM(C32:O32)</f>
        <v/>
      </c>
      <c r="Q32" s="1505" t="n"/>
      <c r="R32" s="1505" t="n"/>
      <c r="S32" s="1505" t="n"/>
      <c r="T32" s="1505" t="n"/>
      <c r="U32" s="1505" t="n"/>
      <c r="V32" s="1505" t="n"/>
      <c r="W32" s="1505" t="n"/>
      <c r="X32" s="1505" t="n"/>
      <c r="Y32" s="1505" t="n"/>
      <c r="Z32" s="1505" t="n"/>
      <c r="AA32" s="1505" t="n"/>
      <c r="AB32" s="1505" t="n"/>
      <c r="AC32" s="1507">
        <f>SUM(Q32:AB32)</f>
        <v/>
      </c>
      <c r="AD32" s="1505" t="n"/>
      <c r="AE32" s="1505" t="n"/>
      <c r="AF32" s="1505" t="n"/>
      <c r="AG32" s="1505" t="n"/>
      <c r="AH32" s="1505" t="n"/>
      <c r="AI32" s="1505" t="n"/>
      <c r="AJ32" s="1505" t="n"/>
      <c r="AK32" s="1505" t="n"/>
      <c r="AL32" s="1505" t="n"/>
      <c r="AM32" s="1505" t="n"/>
      <c r="AN32" s="1505" t="n"/>
      <c r="AO32" s="1505" t="n"/>
      <c r="AP32" s="1507">
        <f>SUM(AD32:AO32)</f>
        <v/>
      </c>
      <c r="AQ32" s="1505" t="n"/>
      <c r="AR32" s="1505" t="n"/>
      <c r="AS32" s="1505" t="n"/>
      <c r="AT32" s="1505" t="n"/>
      <c r="AU32" s="1505" t="n"/>
      <c r="AV32" s="1505" t="n"/>
      <c r="AW32" s="1505" t="n"/>
      <c r="AX32" s="1505" t="n"/>
      <c r="AY32" s="1505" t="n"/>
      <c r="AZ32" s="1505" t="n"/>
      <c r="BA32" s="1505" t="n"/>
      <c r="BB32" s="1505" t="n"/>
      <c r="BC32" s="1507">
        <f>SUM(AQ32:BB32)</f>
        <v/>
      </c>
      <c r="BD32" s="1505" t="n"/>
      <c r="BE32" s="1505" t="n"/>
      <c r="BF32" s="1505" t="n"/>
      <c r="BG32" s="1505" t="n"/>
      <c r="BH32" s="1505" t="n"/>
      <c r="BI32" s="1505" t="n"/>
      <c r="BJ32" s="1505" t="n"/>
      <c r="BK32" s="1505" t="n"/>
      <c r="BL32" s="1505" t="n"/>
      <c r="BM32" s="1505" t="n"/>
      <c r="BN32" s="1505" t="n"/>
      <c r="BO32" s="1505" t="n"/>
      <c r="BP32" s="1507">
        <f>SUM(BD32:BO32)</f>
        <v/>
      </c>
      <c r="BQ32" s="1505" t="n"/>
      <c r="BR32" s="1505" t="n"/>
      <c r="BS32" s="1505" t="n"/>
      <c r="BT32" s="1505" t="n"/>
      <c r="BU32" s="1505" t="n"/>
      <c r="BV32" s="1505" t="n"/>
      <c r="BW32" s="1505" t="n"/>
      <c r="BX32" s="1505" t="n"/>
      <c r="BY32" s="1505" t="n"/>
      <c r="BZ32" s="1505" t="n"/>
      <c r="CA32" s="1505" t="n"/>
      <c r="CB32" s="1505" t="n"/>
      <c r="CC32" s="1507">
        <f>SUM(BQ32:CB32)</f>
        <v/>
      </c>
      <c r="CD32" s="1505" t="n"/>
      <c r="CE32" s="1505" t="n"/>
      <c r="CF32" s="1505" t="n"/>
      <c r="CG32" s="1505" t="n"/>
      <c r="CH32" s="1505" t="n"/>
      <c r="CI32" s="1505" t="n"/>
      <c r="CJ32" s="1505" t="n"/>
      <c r="CK32" s="1505" t="n"/>
      <c r="CL32" s="1505" t="n"/>
      <c r="CM32" s="1505" t="n"/>
      <c r="CN32" s="1505" t="n"/>
      <c r="CO32" s="1505" t="n"/>
      <c r="CP32" s="1507">
        <f>SUM(CD32:CO32)</f>
        <v/>
      </c>
      <c r="CQ32" s="1505" t="n"/>
      <c r="CR32" s="1505" t="n"/>
      <c r="CS32" s="1505" t="n"/>
      <c r="CT32" s="1505" t="n"/>
      <c r="CU32" s="1505" t="n"/>
      <c r="CV32" s="1505" t="n"/>
      <c r="CW32" s="1505" t="n"/>
      <c r="CX32" s="1505" t="n"/>
      <c r="CY32" s="1505" t="n"/>
      <c r="CZ32" s="1505" t="n"/>
      <c r="DA32" s="1505" t="n"/>
      <c r="DB32" s="1505" t="n"/>
      <c r="DC32" s="1507">
        <f>SUM(CQ32:DB32)</f>
        <v/>
      </c>
      <c r="DD32" s="1505" t="n"/>
      <c r="DE32" s="1505" t="n"/>
      <c r="DF32" s="1505" t="n"/>
      <c r="DG32" s="1505" t="n"/>
      <c r="DH32" s="1505" t="n"/>
      <c r="DI32" s="1505" t="n"/>
      <c r="DJ32" s="1505" t="n"/>
      <c r="DK32" s="1505" t="n"/>
      <c r="DL32" s="1505" t="n"/>
      <c r="DM32" s="1505" t="n"/>
      <c r="DN32" s="1505" t="n"/>
      <c r="DO32" s="1505" t="n"/>
      <c r="DP32" s="1507">
        <f>SUM(DD32:DO32)</f>
        <v/>
      </c>
    </row>
    <row r="33" hidden="1">
      <c r="A33" s="714" t="n"/>
      <c r="B33" s="719" t="n"/>
      <c r="C33" s="1505" t="n"/>
      <c r="D33" s="1505" t="n"/>
      <c r="E33" s="1505" t="n"/>
      <c r="F33" s="1505" t="n"/>
      <c r="G33" s="1505" t="n"/>
      <c r="H33" s="1505" t="n"/>
      <c r="I33" s="1505" t="n"/>
      <c r="J33" s="1505" t="n"/>
      <c r="K33" s="1505" t="n"/>
      <c r="L33" s="1505" t="n"/>
      <c r="M33" s="1505" t="n"/>
      <c r="N33" s="1505" t="n"/>
      <c r="O33" s="1505" t="n"/>
      <c r="P33" s="1507">
        <f>SUM(C33:O33)</f>
        <v/>
      </c>
      <c r="Q33" s="1505" t="n"/>
      <c r="R33" s="1505" t="n"/>
      <c r="S33" s="1505" t="n"/>
      <c r="T33" s="1505" t="n"/>
      <c r="U33" s="1505" t="n"/>
      <c r="V33" s="1505" t="n"/>
      <c r="W33" s="1505" t="n"/>
      <c r="X33" s="1505" t="n"/>
      <c r="Y33" s="1505" t="n"/>
      <c r="Z33" s="1505" t="n"/>
      <c r="AA33" s="1505" t="n"/>
      <c r="AB33" s="1505" t="n"/>
      <c r="AC33" s="1507">
        <f>SUM(Q33:AB33)</f>
        <v/>
      </c>
      <c r="AD33" s="1505" t="n"/>
      <c r="AE33" s="1505" t="n"/>
      <c r="AF33" s="1505" t="n"/>
      <c r="AG33" s="1505" t="n"/>
      <c r="AH33" s="1505" t="n"/>
      <c r="AI33" s="1505" t="n"/>
      <c r="AJ33" s="1505" t="n"/>
      <c r="AK33" s="1505" t="n"/>
      <c r="AL33" s="1505" t="n"/>
      <c r="AM33" s="1505" t="n"/>
      <c r="AN33" s="1505" t="n"/>
      <c r="AO33" s="1505" t="n"/>
      <c r="AP33" s="1507">
        <f>SUM(AD33:AO33)</f>
        <v/>
      </c>
      <c r="AQ33" s="1505" t="n"/>
      <c r="AR33" s="1505" t="n"/>
      <c r="AS33" s="1505" t="n"/>
      <c r="AT33" s="1505" t="n"/>
      <c r="AU33" s="1505" t="n"/>
      <c r="AV33" s="1505" t="n"/>
      <c r="AW33" s="1505" t="n"/>
      <c r="AX33" s="1505" t="n"/>
      <c r="AY33" s="1505" t="n"/>
      <c r="AZ33" s="1505" t="n"/>
      <c r="BA33" s="1505" t="n"/>
      <c r="BB33" s="1505" t="n"/>
      <c r="BC33" s="1507">
        <f>SUM(AQ33:BB33)</f>
        <v/>
      </c>
      <c r="BD33" s="1505" t="n"/>
      <c r="BE33" s="1505" t="n"/>
      <c r="BF33" s="1505" t="n"/>
      <c r="BG33" s="1505" t="n"/>
      <c r="BH33" s="1505" t="n"/>
      <c r="BI33" s="1505" t="n"/>
      <c r="BJ33" s="1505" t="n"/>
      <c r="BK33" s="1505" t="n"/>
      <c r="BL33" s="1505" t="n"/>
      <c r="BM33" s="1505" t="n"/>
      <c r="BN33" s="1505" t="n"/>
      <c r="BO33" s="1505" t="n"/>
      <c r="BP33" s="1507">
        <f>SUM(BD33:BO33)</f>
        <v/>
      </c>
      <c r="BQ33" s="1505" t="n"/>
      <c r="BR33" s="1505" t="n"/>
      <c r="BS33" s="1505" t="n"/>
      <c r="BT33" s="1505" t="n"/>
      <c r="BU33" s="1505" t="n"/>
      <c r="BV33" s="1505" t="n"/>
      <c r="BW33" s="1505" t="n"/>
      <c r="BX33" s="1505" t="n"/>
      <c r="BY33" s="1505" t="n"/>
      <c r="BZ33" s="1505" t="n"/>
      <c r="CA33" s="1505" t="n"/>
      <c r="CB33" s="1505" t="n"/>
      <c r="CC33" s="1507">
        <f>SUM(BQ33:CB33)</f>
        <v/>
      </c>
      <c r="CD33" s="1505" t="n"/>
      <c r="CE33" s="1505" t="n"/>
      <c r="CF33" s="1505" t="n"/>
      <c r="CG33" s="1505" t="n"/>
      <c r="CH33" s="1505" t="n"/>
      <c r="CI33" s="1505" t="n"/>
      <c r="CJ33" s="1505" t="n"/>
      <c r="CK33" s="1505" t="n"/>
      <c r="CL33" s="1505" t="n"/>
      <c r="CM33" s="1505" t="n"/>
      <c r="CN33" s="1505" t="n"/>
      <c r="CO33" s="1505" t="n"/>
      <c r="CP33" s="1507">
        <f>SUM(CD33:CO33)</f>
        <v/>
      </c>
      <c r="CQ33" s="1505" t="n"/>
      <c r="CR33" s="1505" t="n"/>
      <c r="CS33" s="1505" t="n"/>
      <c r="CT33" s="1505" t="n"/>
      <c r="CU33" s="1505" t="n"/>
      <c r="CV33" s="1505" t="n"/>
      <c r="CW33" s="1505" t="n"/>
      <c r="CX33" s="1505" t="n"/>
      <c r="CY33" s="1505" t="n"/>
      <c r="CZ33" s="1505" t="n"/>
      <c r="DA33" s="1505" t="n"/>
      <c r="DB33" s="1505" t="n"/>
      <c r="DC33" s="1507">
        <f>SUM(CQ33:DB33)</f>
        <v/>
      </c>
      <c r="DD33" s="1505" t="n"/>
      <c r="DE33" s="1505" t="n"/>
      <c r="DF33" s="1505" t="n"/>
      <c r="DG33" s="1505" t="n"/>
      <c r="DH33" s="1505" t="n"/>
      <c r="DI33" s="1505" t="n"/>
      <c r="DJ33" s="1505" t="n"/>
      <c r="DK33" s="1505" t="n"/>
      <c r="DL33" s="1505" t="n"/>
      <c r="DM33" s="1505" t="n"/>
      <c r="DN33" s="1505" t="n"/>
      <c r="DO33" s="1505" t="n"/>
      <c r="DP33" s="1507">
        <f>SUM(DD33:DO33)</f>
        <v/>
      </c>
    </row>
    <row r="34" hidden="1">
      <c r="A34" s="714" t="n"/>
      <c r="B34" s="724" t="n"/>
      <c r="C34" s="1505" t="n"/>
      <c r="D34" s="1505" t="n"/>
      <c r="E34" s="1505" t="n"/>
      <c r="F34" s="1505" t="n"/>
      <c r="G34" s="1505" t="n"/>
      <c r="H34" s="1505" t="n"/>
      <c r="I34" s="1505" t="n"/>
      <c r="J34" s="1505" t="n"/>
      <c r="K34" s="1505" t="n"/>
      <c r="L34" s="1505" t="n"/>
      <c r="M34" s="1505" t="n"/>
      <c r="N34" s="1505" t="n"/>
      <c r="O34" s="1505" t="n"/>
      <c r="P34" s="1507">
        <f>SUM(C34:O34)</f>
        <v/>
      </c>
      <c r="Q34" s="1505" t="n"/>
      <c r="R34" s="1505" t="n"/>
      <c r="S34" s="1505" t="n"/>
      <c r="T34" s="1505" t="n"/>
      <c r="U34" s="1505" t="n"/>
      <c r="V34" s="1505" t="n"/>
      <c r="W34" s="1505" t="n"/>
      <c r="X34" s="1505" t="n"/>
      <c r="Y34" s="1505" t="n"/>
      <c r="Z34" s="1505" t="n"/>
      <c r="AA34" s="1505" t="n"/>
      <c r="AB34" s="1505" t="n"/>
      <c r="AC34" s="1507">
        <f>SUM(Q34:AB34)</f>
        <v/>
      </c>
      <c r="AD34" s="1505" t="n"/>
      <c r="AE34" s="1505" t="n"/>
      <c r="AF34" s="1505" t="n"/>
      <c r="AG34" s="1505" t="n"/>
      <c r="AH34" s="1505" t="n"/>
      <c r="AI34" s="1505" t="n"/>
      <c r="AJ34" s="1505" t="n"/>
      <c r="AK34" s="1505" t="n"/>
      <c r="AL34" s="1505" t="n"/>
      <c r="AM34" s="1505" t="n"/>
      <c r="AN34" s="1505" t="n"/>
      <c r="AO34" s="1505" t="n"/>
      <c r="AP34" s="1507">
        <f>SUM(AD34:AO34)</f>
        <v/>
      </c>
      <c r="AQ34" s="1505" t="n"/>
      <c r="AR34" s="1505" t="n"/>
      <c r="AS34" s="1505" t="n"/>
      <c r="AT34" s="1505" t="n"/>
      <c r="AU34" s="1505" t="n"/>
      <c r="AV34" s="1505" t="n"/>
      <c r="AW34" s="1505" t="n"/>
      <c r="AX34" s="1505" t="n"/>
      <c r="AY34" s="1505" t="n"/>
      <c r="AZ34" s="1505" t="n"/>
      <c r="BA34" s="1505" t="n"/>
      <c r="BB34" s="1505" t="n"/>
      <c r="BC34" s="1507">
        <f>SUM(AQ34:BB34)</f>
        <v/>
      </c>
      <c r="BD34" s="1505" t="n"/>
      <c r="BE34" s="1505" t="n"/>
      <c r="BF34" s="1505" t="n"/>
      <c r="BG34" s="1505" t="n"/>
      <c r="BH34" s="1505" t="n"/>
      <c r="BI34" s="1505" t="n"/>
      <c r="BJ34" s="1505" t="n"/>
      <c r="BK34" s="1505" t="n"/>
      <c r="BL34" s="1505" t="n"/>
      <c r="BM34" s="1505" t="n"/>
      <c r="BN34" s="1505" t="n"/>
      <c r="BO34" s="1505" t="n"/>
      <c r="BP34" s="1507">
        <f>SUM(BD34:BO34)</f>
        <v/>
      </c>
      <c r="BQ34" s="1505" t="n"/>
      <c r="BR34" s="1505" t="n"/>
      <c r="BS34" s="1505" t="n"/>
      <c r="BT34" s="1505" t="n"/>
      <c r="BU34" s="1505" t="n"/>
      <c r="BV34" s="1505" t="n"/>
      <c r="BW34" s="1505" t="n"/>
      <c r="BX34" s="1505" t="n"/>
      <c r="BY34" s="1505" t="n"/>
      <c r="BZ34" s="1505" t="n"/>
      <c r="CA34" s="1505" t="n"/>
      <c r="CB34" s="1505" t="n"/>
      <c r="CC34" s="1507">
        <f>SUM(BQ34:CB34)</f>
        <v/>
      </c>
      <c r="CD34" s="1505" t="n"/>
      <c r="CE34" s="1505" t="n"/>
      <c r="CF34" s="1505" t="n"/>
      <c r="CG34" s="1505" t="n"/>
      <c r="CH34" s="1505" t="n"/>
      <c r="CI34" s="1505" t="n"/>
      <c r="CJ34" s="1505" t="n"/>
      <c r="CK34" s="1505" t="n"/>
      <c r="CL34" s="1505" t="n"/>
      <c r="CM34" s="1505" t="n"/>
      <c r="CN34" s="1505" t="n"/>
      <c r="CO34" s="1505" t="n"/>
      <c r="CP34" s="1507">
        <f>SUM(CD34:CO34)</f>
        <v/>
      </c>
      <c r="CQ34" s="1505" t="n"/>
      <c r="CR34" s="1505" t="n"/>
      <c r="CS34" s="1505" t="n"/>
      <c r="CT34" s="1505" t="n"/>
      <c r="CU34" s="1505" t="n"/>
      <c r="CV34" s="1505" t="n"/>
      <c r="CW34" s="1505" t="n"/>
      <c r="CX34" s="1505" t="n"/>
      <c r="CY34" s="1505" t="n"/>
      <c r="CZ34" s="1505" t="n"/>
      <c r="DA34" s="1505" t="n"/>
      <c r="DB34" s="1505" t="n"/>
      <c r="DC34" s="1507">
        <f>SUM(CQ34:DB34)</f>
        <v/>
      </c>
      <c r="DD34" s="1505" t="n"/>
      <c r="DE34" s="1505" t="n"/>
      <c r="DF34" s="1505" t="n"/>
      <c r="DG34" s="1505" t="n"/>
      <c r="DH34" s="1505" t="n"/>
      <c r="DI34" s="1505" t="n"/>
      <c r="DJ34" s="1505" t="n"/>
      <c r="DK34" s="1505" t="n"/>
      <c r="DL34" s="1505" t="n"/>
      <c r="DM34" s="1505" t="n"/>
      <c r="DN34" s="1505" t="n"/>
      <c r="DO34" s="1505" t="n"/>
      <c r="DP34" s="1507">
        <f>SUM(DD34:DO34)</f>
        <v/>
      </c>
    </row>
    <row r="35">
      <c r="B35" s="720" t="n"/>
      <c r="C35" s="1550">
        <f>SUM(C28:C34)</f>
        <v/>
      </c>
      <c r="D35" s="1550">
        <f>SUM(D28:D34)</f>
        <v/>
      </c>
      <c r="E35" s="1550">
        <f>SUM(E28:E34)</f>
        <v/>
      </c>
      <c r="F35" s="1550">
        <f>SUM(F28:F34)</f>
        <v/>
      </c>
      <c r="G35" s="1550">
        <f>SUM(G28:G34)</f>
        <v/>
      </c>
      <c r="H35" s="1550">
        <f>SUM(H28:H34)</f>
        <v/>
      </c>
      <c r="I35" s="1550">
        <f>SUM(I28:I34)</f>
        <v/>
      </c>
      <c r="J35" s="1550">
        <f>SUM(J28:J34)</f>
        <v/>
      </c>
      <c r="K35" s="1550">
        <f>SUM(K28:K34)</f>
        <v/>
      </c>
      <c r="L35" s="1550">
        <f>SUM(L28:L34)</f>
        <v/>
      </c>
      <c r="M35" s="1550">
        <f>SUM(M28:M34)</f>
        <v/>
      </c>
      <c r="N35" s="1550">
        <f>SUM(N28:N34)</f>
        <v/>
      </c>
      <c r="O35" s="1550">
        <f>SUM(O28:O34)</f>
        <v/>
      </c>
      <c r="P35" s="1507">
        <f>SUM(C35:O35)</f>
        <v/>
      </c>
      <c r="Q35" s="1550">
        <f>SUM(Q28:Q34)</f>
        <v/>
      </c>
      <c r="R35" s="1550">
        <f>SUM(R28:R34)</f>
        <v/>
      </c>
      <c r="S35" s="1550">
        <f>SUM(S28:S34)</f>
        <v/>
      </c>
      <c r="T35" s="1550">
        <f>SUM(T28:T34)</f>
        <v/>
      </c>
      <c r="U35" s="1550">
        <f>SUM(U28:U34)</f>
        <v/>
      </c>
      <c r="V35" s="1550">
        <f>SUM(V28:V34)</f>
        <v/>
      </c>
      <c r="W35" s="1550">
        <f>SUM(W28:W34)</f>
        <v/>
      </c>
      <c r="X35" s="1550">
        <f>SUM(X28:X34)</f>
        <v/>
      </c>
      <c r="Y35" s="1550">
        <f>SUM(Y28:Y34)</f>
        <v/>
      </c>
      <c r="Z35" s="1550">
        <f>SUM(Z28:Z34)</f>
        <v/>
      </c>
      <c r="AA35" s="1550">
        <f>SUM(AA28:AA34)</f>
        <v/>
      </c>
      <c r="AB35" s="1550">
        <f>SUM(AB28:AB34)</f>
        <v/>
      </c>
      <c r="AC35" s="1507">
        <f>SUM(Q35:AB35)</f>
        <v/>
      </c>
      <c r="AD35" s="1550">
        <f>SUM(AD28:AD34)</f>
        <v/>
      </c>
      <c r="AE35" s="1550">
        <f>SUM(AE28:AE34)</f>
        <v/>
      </c>
      <c r="AF35" s="1550">
        <f>SUM(AF28:AF34)</f>
        <v/>
      </c>
      <c r="AG35" s="1550">
        <f>SUM(AG28:AG34)</f>
        <v/>
      </c>
      <c r="AH35" s="1550">
        <f>SUM(AH28:AH34)</f>
        <v/>
      </c>
      <c r="AI35" s="1550">
        <f>SUM(AI28:AI34)</f>
        <v/>
      </c>
      <c r="AJ35" s="1550">
        <f>SUM(AJ28:AJ34)</f>
        <v/>
      </c>
      <c r="AK35" s="1550">
        <f>SUM(AK28:AK34)</f>
        <v/>
      </c>
      <c r="AL35" s="1550">
        <f>SUM(AL28:AL34)</f>
        <v/>
      </c>
      <c r="AM35" s="1550">
        <f>SUM(AM28:AM34)</f>
        <v/>
      </c>
      <c r="AN35" s="1550">
        <f>SUM(AN28:AN34)</f>
        <v/>
      </c>
      <c r="AO35" s="1550">
        <f>SUM(AO28:AO34)</f>
        <v/>
      </c>
      <c r="AP35" s="1507">
        <f>SUM(AD35:AO35)</f>
        <v/>
      </c>
      <c r="AQ35" s="1550">
        <f>SUM(AQ28:AQ34)</f>
        <v/>
      </c>
      <c r="AR35" s="1550">
        <f>SUM(AR28:AR34)</f>
        <v/>
      </c>
      <c r="AS35" s="1550">
        <f>SUM(AS28:AS34)</f>
        <v/>
      </c>
      <c r="AT35" s="1550">
        <f>SUM(AT28:AT34)</f>
        <v/>
      </c>
      <c r="AU35" s="1550">
        <f>SUM(AU28:AU34)</f>
        <v/>
      </c>
      <c r="AV35" s="1550">
        <f>SUM(AV28:AV34)</f>
        <v/>
      </c>
      <c r="AW35" s="1550">
        <f>SUM(AW28:AW34)</f>
        <v/>
      </c>
      <c r="AX35" s="1550">
        <f>SUM(AX28:AX34)</f>
        <v/>
      </c>
      <c r="AY35" s="1550">
        <f>SUM(AY28:AY34)</f>
        <v/>
      </c>
      <c r="AZ35" s="1550">
        <f>SUM(AZ28:AZ34)</f>
        <v/>
      </c>
      <c r="BA35" s="1550">
        <f>SUM(BA28:BA34)</f>
        <v/>
      </c>
      <c r="BB35" s="1550">
        <f>SUM(BB28:BB34)</f>
        <v/>
      </c>
      <c r="BC35" s="1507">
        <f>SUM(AQ35:BB35)</f>
        <v/>
      </c>
      <c r="BD35" s="1550">
        <f>SUM(BD28:BD34)</f>
        <v/>
      </c>
      <c r="BE35" s="1550">
        <f>SUM(BE28:BE34)</f>
        <v/>
      </c>
      <c r="BF35" s="1550">
        <f>SUM(BF28:BF34)</f>
        <v/>
      </c>
      <c r="BG35" s="1550">
        <f>SUM(BG28:BG34)</f>
        <v/>
      </c>
      <c r="BH35" s="1550">
        <f>SUM(BH28:BH34)</f>
        <v/>
      </c>
      <c r="BI35" s="1550">
        <f>SUM(BI28:BI34)</f>
        <v/>
      </c>
      <c r="BJ35" s="1550">
        <f>SUM(BJ28:BJ34)</f>
        <v/>
      </c>
      <c r="BK35" s="1550">
        <f>SUM(BK28:BK34)</f>
        <v/>
      </c>
      <c r="BL35" s="1550">
        <f>SUM(BL28:BL34)</f>
        <v/>
      </c>
      <c r="BM35" s="1550">
        <f>SUM(BM28:BM34)</f>
        <v/>
      </c>
      <c r="BN35" s="1550">
        <f>SUM(BN28:BN34)</f>
        <v/>
      </c>
      <c r="BO35" s="1550">
        <f>SUM(BO28:BO34)</f>
        <v/>
      </c>
      <c r="BP35" s="1507">
        <f>SUM(BD35:BO35)</f>
        <v/>
      </c>
      <c r="BQ35" s="1550">
        <f>SUM(BQ28:BQ34)</f>
        <v/>
      </c>
      <c r="BR35" s="1550">
        <f>SUM(BR28:BR34)</f>
        <v/>
      </c>
      <c r="BS35" s="1550">
        <f>SUM(BS28:BS34)</f>
        <v/>
      </c>
      <c r="BT35" s="1550">
        <f>SUM(BT28:BT34)</f>
        <v/>
      </c>
      <c r="BU35" s="1550">
        <f>SUM(BU28:BU34)</f>
        <v/>
      </c>
      <c r="BV35" s="1550">
        <f>SUM(BV28:BV34)</f>
        <v/>
      </c>
      <c r="BW35" s="1550">
        <f>SUM(BW28:BW34)</f>
        <v/>
      </c>
      <c r="BX35" s="1550">
        <f>SUM(BX28:BX34)</f>
        <v/>
      </c>
      <c r="BY35" s="1550">
        <f>SUM(BY28:BY34)</f>
        <v/>
      </c>
      <c r="BZ35" s="1550">
        <f>SUM(BZ28:BZ34)</f>
        <v/>
      </c>
      <c r="CA35" s="1550">
        <f>SUM(CA28:CA34)</f>
        <v/>
      </c>
      <c r="CB35" s="1550">
        <f>SUM(CB28:CB34)</f>
        <v/>
      </c>
      <c r="CC35" s="1507">
        <f>SUM(BQ35:CB35)</f>
        <v/>
      </c>
      <c r="CD35" s="1550">
        <f>SUM(CD28:CD34)</f>
        <v/>
      </c>
      <c r="CE35" s="1550">
        <f>SUM(CE28:CE34)</f>
        <v/>
      </c>
      <c r="CF35" s="1550">
        <f>SUM(CF28:CF34)</f>
        <v/>
      </c>
      <c r="CG35" s="1550">
        <f>SUM(CG28:CG34)</f>
        <v/>
      </c>
      <c r="CH35" s="1550">
        <f>SUM(CH28:CH34)</f>
        <v/>
      </c>
      <c r="CI35" s="1550">
        <f>SUM(CI28:CI34)</f>
        <v/>
      </c>
      <c r="CJ35" s="1550">
        <f>SUM(CJ28:CJ34)</f>
        <v/>
      </c>
      <c r="CK35" s="1550">
        <f>SUM(CK28:CK34)</f>
        <v/>
      </c>
      <c r="CL35" s="1550">
        <f>SUM(CL28:CL34)</f>
        <v/>
      </c>
      <c r="CM35" s="1550">
        <f>SUM(CM28:CM34)</f>
        <v/>
      </c>
      <c r="CN35" s="1550">
        <f>SUM(CN28:CN34)</f>
        <v/>
      </c>
      <c r="CO35" s="1550">
        <f>SUM(CO28:CO34)</f>
        <v/>
      </c>
      <c r="CP35" s="1507">
        <f>SUM(CD35:CO35)</f>
        <v/>
      </c>
      <c r="CQ35" s="1550">
        <f>SUM(CQ28:CQ34)</f>
        <v/>
      </c>
      <c r="CR35" s="1550">
        <f>SUM(CR28:CR34)</f>
        <v/>
      </c>
      <c r="CS35" s="1550">
        <f>SUM(CS28:CS34)</f>
        <v/>
      </c>
      <c r="CT35" s="1550">
        <f>SUM(CT28:CT34)</f>
        <v/>
      </c>
      <c r="CU35" s="1550">
        <f>SUM(CU28:CU34)</f>
        <v/>
      </c>
      <c r="CV35" s="1550">
        <f>SUM(CV28:CV34)</f>
        <v/>
      </c>
      <c r="CW35" s="1550">
        <f>SUM(CW28:CW34)</f>
        <v/>
      </c>
      <c r="CX35" s="1550">
        <f>SUM(CX28:CX34)</f>
        <v/>
      </c>
      <c r="CY35" s="1550">
        <f>SUM(CY28:CY34)</f>
        <v/>
      </c>
      <c r="CZ35" s="1550">
        <f>SUM(CZ28:CZ34)</f>
        <v/>
      </c>
      <c r="DA35" s="1550">
        <f>SUM(DA28:DA34)</f>
        <v/>
      </c>
      <c r="DB35" s="1550">
        <f>SUM(DB28:DB34)</f>
        <v/>
      </c>
      <c r="DC35" s="1507">
        <f>SUM(CQ35:DB35)</f>
        <v/>
      </c>
      <c r="DD35" s="1550">
        <f>SUM(DD28:DD34)</f>
        <v/>
      </c>
      <c r="DE35" s="1550">
        <f>SUM(DE28:DE34)</f>
        <v/>
      </c>
      <c r="DF35" s="1550">
        <f>SUM(DF28:DF34)</f>
        <v/>
      </c>
      <c r="DG35" s="1550">
        <f>SUM(DG28:DG34)</f>
        <v/>
      </c>
      <c r="DH35" s="1550">
        <f>SUM(DH28:DH34)</f>
        <v/>
      </c>
      <c r="DI35" s="1550">
        <f>SUM(DI28:DI34)</f>
        <v/>
      </c>
      <c r="DJ35" s="1550">
        <f>SUM(DJ28:DJ34)</f>
        <v/>
      </c>
      <c r="DK35" s="1550">
        <f>SUM(DK28:DK34)</f>
        <v/>
      </c>
      <c r="DL35" s="1550">
        <f>SUM(DL28:DL34)</f>
        <v/>
      </c>
      <c r="DM35" s="1550">
        <f>SUM(DM28:DM34)</f>
        <v/>
      </c>
      <c r="DN35" s="1550">
        <f>SUM(DN28:DN34)</f>
        <v/>
      </c>
      <c r="DO35" s="1550">
        <f>SUM(DO28:DO34)</f>
        <v/>
      </c>
      <c r="DP35" s="1507">
        <f>SUM(DD35:DO35)</f>
        <v/>
      </c>
      <c r="DS35" s="1508" t="n"/>
      <c r="DT35" s="1508" t="n"/>
    </row>
    <row r="36">
      <c r="C36" s="726" t="n"/>
      <c r="D36" s="726">
        <f>D35/D15</f>
        <v/>
      </c>
      <c r="E36" s="726">
        <f>E35/E15</f>
        <v/>
      </c>
      <c r="F36" s="726">
        <f>F35/F15</f>
        <v/>
      </c>
      <c r="G36" s="726">
        <f>G35/G15</f>
        <v/>
      </c>
      <c r="H36" s="726">
        <f>H35/H15</f>
        <v/>
      </c>
      <c r="I36" s="726">
        <f>I35/I15</f>
        <v/>
      </c>
      <c r="J36" s="726">
        <f>J35/J15</f>
        <v/>
      </c>
      <c r="K36" s="726">
        <f>K35/K15</f>
        <v/>
      </c>
      <c r="L36" s="726">
        <f>L35/L15</f>
        <v/>
      </c>
      <c r="M36" s="726">
        <f>M35/M15</f>
        <v/>
      </c>
      <c r="N36" s="726">
        <f>N35/N15</f>
        <v/>
      </c>
      <c r="O36" s="726">
        <f>O35/O15</f>
        <v/>
      </c>
      <c r="P36" s="726">
        <f>P35/P15</f>
        <v/>
      </c>
      <c r="Q36" s="726">
        <f>Q35/Q15</f>
        <v/>
      </c>
      <c r="R36" s="726">
        <f>R35/R15</f>
        <v/>
      </c>
      <c r="S36" s="726">
        <f>S35/S15</f>
        <v/>
      </c>
      <c r="T36" s="726">
        <f>T35/T15</f>
        <v/>
      </c>
      <c r="U36" s="726">
        <f>U35/U15</f>
        <v/>
      </c>
      <c r="V36" s="726">
        <f>V35/V15</f>
        <v/>
      </c>
      <c r="W36" s="726">
        <f>W35/W15</f>
        <v/>
      </c>
      <c r="X36" s="726">
        <f>X35/X15</f>
        <v/>
      </c>
      <c r="Y36" s="726">
        <f>Y35/Y15</f>
        <v/>
      </c>
      <c r="Z36" s="726">
        <f>Z35/Z15</f>
        <v/>
      </c>
      <c r="AA36" s="726">
        <f>AA35/AA15</f>
        <v/>
      </c>
      <c r="AB36" s="726">
        <f>AB35/AB15</f>
        <v/>
      </c>
      <c r="AC36" s="726">
        <f>AC35/AC15</f>
        <v/>
      </c>
      <c r="AD36" s="726">
        <f>AD35/AD15</f>
        <v/>
      </c>
      <c r="AE36" s="726">
        <f>AE35/AE15</f>
        <v/>
      </c>
      <c r="AF36" s="726">
        <f>AF35/AF15</f>
        <v/>
      </c>
      <c r="AG36" s="726">
        <f>AG35/AG15</f>
        <v/>
      </c>
      <c r="AH36" s="726">
        <f>AH35/AH15</f>
        <v/>
      </c>
      <c r="AI36" s="726">
        <f>AI35/AI15</f>
        <v/>
      </c>
      <c r="AJ36" s="726">
        <f>AJ35/AJ15</f>
        <v/>
      </c>
      <c r="AK36" s="726">
        <f>AK35/AK15</f>
        <v/>
      </c>
      <c r="AL36" s="726">
        <f>AL35/AL15</f>
        <v/>
      </c>
      <c r="AM36" s="726">
        <f>AM35/AM15</f>
        <v/>
      </c>
      <c r="AN36" s="726">
        <f>AN35/AN15</f>
        <v/>
      </c>
      <c r="AO36" s="726">
        <f>AO35/AO15</f>
        <v/>
      </c>
      <c r="AP36" s="726">
        <f>AP35/AP15</f>
        <v/>
      </c>
      <c r="AQ36" s="726">
        <f>AQ35/AQ15</f>
        <v/>
      </c>
      <c r="AR36" s="726">
        <f>AR35/AR15</f>
        <v/>
      </c>
      <c r="AS36" s="726">
        <f>AS35/AS15</f>
        <v/>
      </c>
      <c r="AT36" s="726">
        <f>AT35/AT15</f>
        <v/>
      </c>
      <c r="AU36" s="726">
        <f>AU35/AU15</f>
        <v/>
      </c>
      <c r="AV36" s="726">
        <f>AV35/AV15</f>
        <v/>
      </c>
      <c r="AW36" s="726">
        <f>AW35/AW15</f>
        <v/>
      </c>
      <c r="AX36" s="726">
        <f>AX35/AX15</f>
        <v/>
      </c>
      <c r="AY36" s="726">
        <f>AY35/AY15</f>
        <v/>
      </c>
      <c r="AZ36" s="726">
        <f>AZ35/AZ15</f>
        <v/>
      </c>
      <c r="BA36" s="726">
        <f>BA35/BA15</f>
        <v/>
      </c>
      <c r="BB36" s="726">
        <f>BB35/BB15</f>
        <v/>
      </c>
      <c r="BC36" s="726">
        <f>BC35/BC15</f>
        <v/>
      </c>
      <c r="BD36" s="726">
        <f>BD35/BD15</f>
        <v/>
      </c>
      <c r="BE36" s="726">
        <f>BE35/BE15</f>
        <v/>
      </c>
      <c r="BF36" s="726">
        <f>BF35/BF15</f>
        <v/>
      </c>
      <c r="BG36" s="726">
        <f>BG35/BG15</f>
        <v/>
      </c>
      <c r="BH36" s="726">
        <f>BH35/BH15</f>
        <v/>
      </c>
      <c r="BI36" s="726">
        <f>BI35/BI15</f>
        <v/>
      </c>
      <c r="BJ36" s="726">
        <f>BJ35/BJ15</f>
        <v/>
      </c>
      <c r="BK36" s="726">
        <f>BK35/BK15</f>
        <v/>
      </c>
      <c r="BL36" s="726">
        <f>BL35/BL15</f>
        <v/>
      </c>
      <c r="BM36" s="726">
        <f>BM35/BM15</f>
        <v/>
      </c>
      <c r="BN36" s="726">
        <f>BN35/BN15</f>
        <v/>
      </c>
      <c r="BO36" s="726">
        <f>BO35/BO15</f>
        <v/>
      </c>
      <c r="BP36" s="726">
        <f>BP35/BP15</f>
        <v/>
      </c>
      <c r="BQ36" s="726">
        <f>BQ35/BQ15</f>
        <v/>
      </c>
      <c r="BR36" s="726">
        <f>BR35/BR15</f>
        <v/>
      </c>
      <c r="BS36" s="726">
        <f>BS35/BS15</f>
        <v/>
      </c>
      <c r="BT36" s="726">
        <f>BT35/BT15</f>
        <v/>
      </c>
      <c r="BU36" s="726">
        <f>BU35/BU15</f>
        <v/>
      </c>
      <c r="BV36" s="726">
        <f>BV35/BV15</f>
        <v/>
      </c>
      <c r="BW36" s="726">
        <f>BW35/BW15</f>
        <v/>
      </c>
      <c r="BX36" s="726">
        <f>BX35/BX15</f>
        <v/>
      </c>
      <c r="BY36" s="726">
        <f>BY35/BY15</f>
        <v/>
      </c>
      <c r="BZ36" s="726">
        <f>BZ35/BZ15</f>
        <v/>
      </c>
      <c r="CA36" s="726">
        <f>CA35/CA15</f>
        <v/>
      </c>
      <c r="CB36" s="726">
        <f>CB35/CB15</f>
        <v/>
      </c>
      <c r="CC36" s="726">
        <f>CC35/CC15</f>
        <v/>
      </c>
      <c r="CD36" s="726">
        <f>CD35/CD15</f>
        <v/>
      </c>
      <c r="CE36" s="726">
        <f>CE35/CE15</f>
        <v/>
      </c>
      <c r="CF36" s="726">
        <f>CF35/CF15</f>
        <v/>
      </c>
      <c r="CG36" s="726">
        <f>CG35/CG15</f>
        <v/>
      </c>
      <c r="CH36" s="726">
        <f>CH35/CH15</f>
        <v/>
      </c>
      <c r="CI36" s="726">
        <f>CI35/CI15</f>
        <v/>
      </c>
      <c r="CJ36" s="726">
        <f>CJ35/CJ15</f>
        <v/>
      </c>
      <c r="CK36" s="726">
        <f>CK35/CK15</f>
        <v/>
      </c>
      <c r="CL36" s="726">
        <f>CL35/CL15</f>
        <v/>
      </c>
      <c r="CM36" s="726">
        <f>CM35/CM15</f>
        <v/>
      </c>
      <c r="CN36" s="726">
        <f>CN35/CN15</f>
        <v/>
      </c>
      <c r="CO36" s="726">
        <f>CO35/CO15</f>
        <v/>
      </c>
      <c r="CP36" s="726">
        <f>CP35/CP15</f>
        <v/>
      </c>
      <c r="CQ36" s="726">
        <f>CQ35/CQ15</f>
        <v/>
      </c>
      <c r="CR36" s="726">
        <f>CR35/CR15</f>
        <v/>
      </c>
      <c r="CS36" s="726">
        <f>CS35/CS15</f>
        <v/>
      </c>
      <c r="CT36" s="726">
        <f>CT35/CT15</f>
        <v/>
      </c>
      <c r="CU36" s="726">
        <f>CU35/CU15</f>
        <v/>
      </c>
      <c r="CV36" s="726">
        <f>CV35/CV15</f>
        <v/>
      </c>
      <c r="CW36" s="726">
        <f>CW35/CW15</f>
        <v/>
      </c>
      <c r="CX36" s="726">
        <f>CX35/CX15</f>
        <v/>
      </c>
      <c r="CY36" s="726">
        <f>CY35/CY15</f>
        <v/>
      </c>
      <c r="CZ36" s="726">
        <f>CZ35/CZ15</f>
        <v/>
      </c>
      <c r="DA36" s="726">
        <f>DA35/DA15</f>
        <v/>
      </c>
      <c r="DB36" s="726">
        <f>DB35/DB15</f>
        <v/>
      </c>
      <c r="DC36" s="726">
        <f>DC35/DC15</f>
        <v/>
      </c>
      <c r="DD36" s="726">
        <f>DD35/DD15</f>
        <v/>
      </c>
      <c r="DE36" s="726">
        <f>DE35/DE15</f>
        <v/>
      </c>
      <c r="DF36" s="726">
        <f>DF35/DF15</f>
        <v/>
      </c>
      <c r="DG36" s="726">
        <f>DG35/DG15</f>
        <v/>
      </c>
      <c r="DH36" s="726">
        <f>DH35/DH15</f>
        <v/>
      </c>
      <c r="DI36" s="726">
        <f>DI35/DI15</f>
        <v/>
      </c>
      <c r="DJ36" s="726">
        <f>DJ35/DJ15</f>
        <v/>
      </c>
      <c r="DK36" s="726">
        <f>DK35/DK15</f>
        <v/>
      </c>
      <c r="DL36" s="726">
        <f>DL35/DL15</f>
        <v/>
      </c>
      <c r="DM36" s="726">
        <f>DM35/DM15</f>
        <v/>
      </c>
      <c r="DN36" s="726">
        <f>DN35/DN15</f>
        <v/>
      </c>
      <c r="DO36" s="726">
        <f>DO35/DO15</f>
        <v/>
      </c>
      <c r="DP36" s="726">
        <f>DP35/DP15</f>
        <v/>
      </c>
    </row>
    <row r="37">
      <c r="C37" s="799" t="n"/>
      <c r="D37" s="799" t="n"/>
      <c r="E37" s="799" t="n"/>
      <c r="F37" s="799" t="n"/>
      <c r="G37" s="799" t="n"/>
      <c r="H37" s="799" t="n"/>
      <c r="I37" s="799" t="n"/>
      <c r="J37" s="799" t="n"/>
      <c r="K37" s="799" t="n"/>
      <c r="L37" s="799" t="n"/>
      <c r="M37" s="799" t="n"/>
      <c r="N37" s="799" t="n"/>
      <c r="O37" s="799" t="n"/>
      <c r="P37" s="1552" t="n"/>
      <c r="Q37" s="799" t="n"/>
      <c r="R37" s="799" t="n"/>
      <c r="S37" s="799" t="n"/>
      <c r="T37" s="799" t="n"/>
      <c r="U37" s="799" t="n"/>
      <c r="V37" s="799" t="n"/>
      <c r="W37" s="799" t="n"/>
      <c r="X37" s="799" t="n"/>
      <c r="Y37" s="799" t="n"/>
      <c r="Z37" s="799" t="n"/>
      <c r="AA37" s="799" t="n"/>
      <c r="AB37" s="799" t="n"/>
      <c r="AC37" s="799" t="n"/>
      <c r="AD37" s="799" t="n"/>
      <c r="AE37" s="799" t="n"/>
      <c r="AF37" s="799" t="n"/>
      <c r="AG37" s="799" t="n"/>
      <c r="AH37" s="799" t="n"/>
      <c r="AI37" s="799" t="n"/>
      <c r="AJ37" s="799" t="n"/>
      <c r="AK37" s="799" t="n"/>
      <c r="AL37" s="799" t="n"/>
      <c r="AM37" s="799" t="n"/>
      <c r="AN37" s="799" t="n"/>
      <c r="AO37" s="799" t="n"/>
      <c r="AP37" s="799" t="n"/>
      <c r="AQ37" s="799" t="n"/>
      <c r="AR37" s="799" t="n"/>
      <c r="AS37" s="799" t="n"/>
      <c r="AT37" s="799" t="n"/>
      <c r="AU37" s="799" t="n"/>
      <c r="AV37" s="799" t="n"/>
      <c r="AW37" s="799" t="n"/>
      <c r="AX37" s="799" t="n"/>
      <c r="AY37" s="799" t="n"/>
      <c r="AZ37" s="799" t="n"/>
      <c r="BA37" s="799" t="n"/>
      <c r="BB37" s="799" t="n"/>
      <c r="BC37" s="799" t="n"/>
      <c r="BD37" s="799" t="n"/>
      <c r="BE37" s="799" t="n"/>
      <c r="BF37" s="799" t="n"/>
      <c r="BG37" s="799" t="n"/>
      <c r="BH37" s="799" t="n"/>
      <c r="BI37" s="799" t="n"/>
      <c r="BJ37" s="799" t="n"/>
      <c r="BK37" s="799" t="n"/>
      <c r="BL37" s="799" t="n"/>
      <c r="BM37" s="799" t="n"/>
      <c r="BN37" s="799" t="n"/>
      <c r="BO37" s="799" t="n"/>
      <c r="BP37" s="799" t="n"/>
      <c r="BQ37" s="799" t="n"/>
      <c r="BR37" s="799" t="n"/>
      <c r="BS37" s="799" t="n"/>
      <c r="BT37" s="799" t="n"/>
      <c r="BU37" s="799" t="n"/>
      <c r="BV37" s="799" t="n"/>
      <c r="BW37" s="799" t="n"/>
      <c r="BX37" s="799" t="n"/>
      <c r="BY37" s="799" t="n"/>
      <c r="BZ37" s="799" t="n"/>
      <c r="CA37" s="799" t="n"/>
      <c r="CB37" s="799" t="n"/>
      <c r="CC37" s="799" t="n"/>
      <c r="CD37" s="799" t="n"/>
      <c r="CE37" s="799" t="n"/>
      <c r="CF37" s="799" t="n"/>
      <c r="CG37" s="799" t="n"/>
      <c r="CH37" s="799" t="n"/>
      <c r="CI37" s="799" t="n"/>
      <c r="CJ37" s="799" t="n"/>
      <c r="CK37" s="799" t="n"/>
      <c r="CL37" s="799" t="n"/>
      <c r="CM37" s="799" t="n"/>
      <c r="CN37" s="799" t="n"/>
      <c r="CO37" s="799" t="n"/>
      <c r="CP37" s="799" t="n"/>
      <c r="CQ37" s="799" t="n"/>
      <c r="CR37" s="799" t="n"/>
      <c r="CS37" s="799" t="n"/>
      <c r="CT37" s="799" t="n"/>
      <c r="CU37" s="799" t="n"/>
      <c r="CV37" s="799" t="n"/>
      <c r="CW37" s="799" t="n"/>
      <c r="CX37" s="799" t="n"/>
      <c r="CY37" s="799" t="n"/>
      <c r="CZ37" s="799" t="n"/>
      <c r="DA37" s="799" t="n"/>
      <c r="DB37" s="799" t="n"/>
      <c r="DC37" s="799" t="n"/>
      <c r="DD37" s="799" t="n"/>
      <c r="DE37" s="799" t="n"/>
      <c r="DF37" s="799" t="n"/>
      <c r="DG37" s="799" t="n"/>
      <c r="DH37" s="799" t="n"/>
      <c r="DI37" s="799" t="n"/>
      <c r="DJ37" s="799" t="n"/>
      <c r="DK37" s="799" t="n"/>
      <c r="DL37" s="799" t="n"/>
      <c r="DM37" s="799" t="n"/>
      <c r="DN37" s="799" t="n"/>
      <c r="DO37" s="799" t="n"/>
      <c r="DP37" s="799" t="n"/>
    </row>
    <row r="38">
      <c r="B38" s="730" t="n"/>
      <c r="C38" s="1509">
        <f>C15-C35-C25</f>
        <v/>
      </c>
      <c r="D38" s="1509">
        <f>D15-D35-D25</f>
        <v/>
      </c>
      <c r="E38" s="1509">
        <f>E15-E35-E25</f>
        <v/>
      </c>
      <c r="F38" s="1509">
        <f>F15-F35-F25</f>
        <v/>
      </c>
      <c r="G38" s="1509">
        <f>G15-G35-G25</f>
        <v/>
      </c>
      <c r="H38" s="1509">
        <f>H15-H35-H25</f>
        <v/>
      </c>
      <c r="I38" s="1509">
        <f>I15-I35-I25</f>
        <v/>
      </c>
      <c r="J38" s="1509">
        <f>J15-J35-J25</f>
        <v/>
      </c>
      <c r="K38" s="1509">
        <f>K15-K35-K25</f>
        <v/>
      </c>
      <c r="L38" s="1509">
        <f>L15-L35-L25</f>
        <v/>
      </c>
      <c r="M38" s="1509">
        <f>M15-M35-M25</f>
        <v/>
      </c>
      <c r="N38" s="1509">
        <f>N15-N35-N25</f>
        <v/>
      </c>
      <c r="O38" s="1509">
        <f>O15-O35-O25</f>
        <v/>
      </c>
      <c r="P38" s="1509">
        <f>P15-P35-P25</f>
        <v/>
      </c>
      <c r="Q38" s="1509">
        <f>Q15-Q35-Q25</f>
        <v/>
      </c>
      <c r="R38" s="1509">
        <f>R15-R35-R25</f>
        <v/>
      </c>
      <c r="S38" s="1509">
        <f>S15-S35-S25</f>
        <v/>
      </c>
      <c r="T38" s="1509">
        <f>T15-T35-T25</f>
        <v/>
      </c>
      <c r="U38" s="1509">
        <f>U15-U35-U25</f>
        <v/>
      </c>
      <c r="V38" s="1509">
        <f>V15-V35-V25</f>
        <v/>
      </c>
      <c r="W38" s="1509">
        <f>W15-W35-W25</f>
        <v/>
      </c>
      <c r="X38" s="1509">
        <f>X15-X35-X25</f>
        <v/>
      </c>
      <c r="Y38" s="1509">
        <f>Y15-Y35-Y25</f>
        <v/>
      </c>
      <c r="Z38" s="1509">
        <f>Z15-Z35-Z25</f>
        <v/>
      </c>
      <c r="AA38" s="1509">
        <f>AA15-AA35-AA25</f>
        <v/>
      </c>
      <c r="AB38" s="1509">
        <f>AB15-AB35-AB25</f>
        <v/>
      </c>
      <c r="AC38" s="1509">
        <f>AC15-AC35-AC25</f>
        <v/>
      </c>
      <c r="AD38" s="1509">
        <f>AD15-AD35-AD25</f>
        <v/>
      </c>
      <c r="AE38" s="1509">
        <f>AE15-AE35-AE25</f>
        <v/>
      </c>
      <c r="AF38" s="1509">
        <f>AF15-AF35-AF25</f>
        <v/>
      </c>
      <c r="AG38" s="1509">
        <f>AG15-AG35-AG25</f>
        <v/>
      </c>
      <c r="AH38" s="1509">
        <f>AH15-AH35-AH25</f>
        <v/>
      </c>
      <c r="AI38" s="1509">
        <f>AI15-AI35-AI25</f>
        <v/>
      </c>
      <c r="AJ38" s="1509">
        <f>AJ15-AJ35-AJ25</f>
        <v/>
      </c>
      <c r="AK38" s="1509">
        <f>AK15-AK35-AK25</f>
        <v/>
      </c>
      <c r="AL38" s="1509">
        <f>AL15-AL35-AL25</f>
        <v/>
      </c>
      <c r="AM38" s="1509">
        <f>AM15-AM35-AM25</f>
        <v/>
      </c>
      <c r="AN38" s="1509">
        <f>AN15-AN35-AN25</f>
        <v/>
      </c>
      <c r="AO38" s="1509">
        <f>AO15-AO35-AO25</f>
        <v/>
      </c>
      <c r="AP38" s="1509">
        <f>AP15-AP35-AP25</f>
        <v/>
      </c>
      <c r="AQ38" s="1509">
        <f>AQ15-AQ35-AQ25</f>
        <v/>
      </c>
      <c r="AR38" s="1509">
        <f>AR15-AR35-AR25</f>
        <v/>
      </c>
      <c r="AS38" s="1509">
        <f>AS15-AS35-AS25</f>
        <v/>
      </c>
      <c r="AT38" s="1509">
        <f>AT15-AT35-AT25</f>
        <v/>
      </c>
      <c r="AU38" s="1509">
        <f>AU15-AU35-AU25</f>
        <v/>
      </c>
      <c r="AV38" s="1509">
        <f>AV15-AV35-AV25</f>
        <v/>
      </c>
      <c r="AW38" s="1509">
        <f>AW15-AW35-AW25</f>
        <v/>
      </c>
      <c r="AX38" s="1509">
        <f>AX15-AX35-AX25</f>
        <v/>
      </c>
      <c r="AY38" s="1509">
        <f>AY15-AY35-AY25</f>
        <v/>
      </c>
      <c r="AZ38" s="1509">
        <f>AZ15-AZ35-AZ25</f>
        <v/>
      </c>
      <c r="BA38" s="1509">
        <f>BA15-BA35-BA25</f>
        <v/>
      </c>
      <c r="BB38" s="1509">
        <f>BB15-BB35-BB25</f>
        <v/>
      </c>
      <c r="BC38" s="1509">
        <f>BC15-BC35-BC25</f>
        <v/>
      </c>
      <c r="BD38" s="1509">
        <f>BD15-BD35-BD25</f>
        <v/>
      </c>
      <c r="BE38" s="1509">
        <f>BE15-BE35-BE25</f>
        <v/>
      </c>
      <c r="BF38" s="1509">
        <f>BF15-BF35-BF25</f>
        <v/>
      </c>
      <c r="BG38" s="1509">
        <f>BG15-BG35-BG25</f>
        <v/>
      </c>
      <c r="BH38" s="1509">
        <f>BH15-BH35-BH25</f>
        <v/>
      </c>
      <c r="BI38" s="1509">
        <f>BI15-BI35-BI25</f>
        <v/>
      </c>
      <c r="BJ38" s="1509">
        <f>BJ15-BJ35-BJ25</f>
        <v/>
      </c>
      <c r="BK38" s="1509">
        <f>BK15-BK35-BK25</f>
        <v/>
      </c>
      <c r="BL38" s="1509">
        <f>BL15-BL35-BL25</f>
        <v/>
      </c>
      <c r="BM38" s="1509">
        <f>BM15-BM35-BM25</f>
        <v/>
      </c>
      <c r="BN38" s="1509">
        <f>BN15-BN35-BN25</f>
        <v/>
      </c>
      <c r="BO38" s="1509">
        <f>BO15-BO35-BO25</f>
        <v/>
      </c>
      <c r="BP38" s="1509">
        <f>BP15-BP35-BP25</f>
        <v/>
      </c>
      <c r="BQ38" s="1509">
        <f>BQ15-BQ35-BQ25</f>
        <v/>
      </c>
      <c r="BR38" s="1509">
        <f>BR15-BR35-BR25</f>
        <v/>
      </c>
      <c r="BS38" s="1509">
        <f>BS15-BS35-BS25</f>
        <v/>
      </c>
      <c r="BT38" s="1509">
        <f>BT15-BT35-BT25</f>
        <v/>
      </c>
      <c r="BU38" s="1509">
        <f>BU15-BU35-BU25</f>
        <v/>
      </c>
      <c r="BV38" s="1509">
        <f>BV15-BV35-BV25</f>
        <v/>
      </c>
      <c r="BW38" s="1509">
        <f>BW15-BW35-BW25</f>
        <v/>
      </c>
      <c r="BX38" s="1509">
        <f>BX15-BX35-BX25</f>
        <v/>
      </c>
      <c r="BY38" s="1509">
        <f>BY15-BY35-BY25</f>
        <v/>
      </c>
      <c r="BZ38" s="1509">
        <f>BZ15-BZ35-BZ25</f>
        <v/>
      </c>
      <c r="CA38" s="1509">
        <f>CA15-CA35-CA25</f>
        <v/>
      </c>
      <c r="CB38" s="1509">
        <f>CB15-CB35-CB25</f>
        <v/>
      </c>
      <c r="CC38" s="1509">
        <f>CC15-CC35-CC25</f>
        <v/>
      </c>
      <c r="CD38" s="1509">
        <f>CD15-CD35-CD25</f>
        <v/>
      </c>
      <c r="CE38" s="1509">
        <f>CE15-CE35-CE25</f>
        <v/>
      </c>
      <c r="CF38" s="1509">
        <f>CF15-CF35-CF25</f>
        <v/>
      </c>
      <c r="CG38" s="1509">
        <f>CG15-CG35-CG25</f>
        <v/>
      </c>
      <c r="CH38" s="1509">
        <f>CH15-CH35-CH25</f>
        <v/>
      </c>
      <c r="CI38" s="1509">
        <f>CI15-CI35-CI25</f>
        <v/>
      </c>
      <c r="CJ38" s="1509">
        <f>CJ15-CJ35-CJ25</f>
        <v/>
      </c>
      <c r="CK38" s="1509">
        <f>CK15-CK35-CK25</f>
        <v/>
      </c>
      <c r="CL38" s="1509">
        <f>CL15-CL35-CL25</f>
        <v/>
      </c>
      <c r="CM38" s="1509">
        <f>CM15-CM35-CM25</f>
        <v/>
      </c>
      <c r="CN38" s="1509">
        <f>CN15-CN35-CN25</f>
        <v/>
      </c>
      <c r="CO38" s="1509">
        <f>CO15-CO35-CO25</f>
        <v/>
      </c>
      <c r="CP38" s="1509">
        <f>CP15-CP35-CP25</f>
        <v/>
      </c>
      <c r="CQ38" s="1509">
        <f>CQ15-CQ35-CQ25</f>
        <v/>
      </c>
      <c r="CR38" s="1509">
        <f>CR15-CR35-CR25</f>
        <v/>
      </c>
      <c r="CS38" s="1509">
        <f>CS15-CS35-CS25</f>
        <v/>
      </c>
      <c r="CT38" s="1509">
        <f>CT15-CT35-CT25</f>
        <v/>
      </c>
      <c r="CU38" s="1509">
        <f>CU15-CU35-CU25</f>
        <v/>
      </c>
      <c r="CV38" s="1509">
        <f>CV15-CV35-CV25</f>
        <v/>
      </c>
      <c r="CW38" s="1509">
        <f>CW15-CW35-CW25</f>
        <v/>
      </c>
      <c r="CX38" s="1509">
        <f>CX15-CX35-CX25</f>
        <v/>
      </c>
      <c r="CY38" s="1509">
        <f>CY15-CY35-CY25</f>
        <v/>
      </c>
      <c r="CZ38" s="1509">
        <f>CZ15-CZ35-CZ25</f>
        <v/>
      </c>
      <c r="DA38" s="1509">
        <f>DA15-DA35-DA25</f>
        <v/>
      </c>
      <c r="DB38" s="1509">
        <f>DB15-DB35-DB25</f>
        <v/>
      </c>
      <c r="DC38" s="1509">
        <f>DC15-DC35-DC25</f>
        <v/>
      </c>
      <c r="DD38" s="1509">
        <f>DD15-DD35-DD25</f>
        <v/>
      </c>
      <c r="DE38" s="1509">
        <f>DE15-DE35-DE25</f>
        <v/>
      </c>
      <c r="DF38" s="1509">
        <f>DF15-DF35-DF25</f>
        <v/>
      </c>
      <c r="DG38" s="1509">
        <f>DG15-DG35-DG25</f>
        <v/>
      </c>
      <c r="DH38" s="1509">
        <f>DH15-DH35-DH25</f>
        <v/>
      </c>
      <c r="DI38" s="1509">
        <f>DI15-DI35-DI25</f>
        <v/>
      </c>
      <c r="DJ38" s="1509">
        <f>DJ15-DJ35-DJ25</f>
        <v/>
      </c>
      <c r="DK38" s="1509">
        <f>DK15-DK35-DK25</f>
        <v/>
      </c>
      <c r="DL38" s="1509">
        <f>DL15-DL35-DL25</f>
        <v/>
      </c>
      <c r="DM38" s="1509">
        <f>DM15-DM35-DM25</f>
        <v/>
      </c>
      <c r="DN38" s="1509">
        <f>DN15-DN35-DN25</f>
        <v/>
      </c>
      <c r="DO38" s="1509">
        <f>DO15-DO35-DO25</f>
        <v/>
      </c>
      <c r="DP38" s="1509">
        <f>DP15-DP35-DP25</f>
        <v/>
      </c>
      <c r="DR38" s="1508" t="n"/>
      <c r="DT38" s="1508" t="n"/>
    </row>
    <row r="39" ht="12.75" customFormat="1" customHeight="1" s="732">
      <c r="A39" s="702" t="n"/>
      <c r="C39" s="733" t="n"/>
      <c r="D39" s="733">
        <f>D38/D15</f>
        <v/>
      </c>
      <c r="E39" s="733">
        <f>E38/E15</f>
        <v/>
      </c>
      <c r="F39" s="733">
        <f>F38/F15</f>
        <v/>
      </c>
      <c r="G39" s="733">
        <f>G38/G15</f>
        <v/>
      </c>
      <c r="H39" s="733">
        <f>H38/H15</f>
        <v/>
      </c>
      <c r="I39" s="733">
        <f>I38/I15</f>
        <v/>
      </c>
      <c r="J39" s="733">
        <f>J38/J15</f>
        <v/>
      </c>
      <c r="K39" s="733">
        <f>K38/K15</f>
        <v/>
      </c>
      <c r="L39" s="733">
        <f>L38/L15</f>
        <v/>
      </c>
      <c r="M39" s="733">
        <f>M38/M15</f>
        <v/>
      </c>
      <c r="N39" s="733">
        <f>N38/N15</f>
        <v/>
      </c>
      <c r="O39" s="733">
        <f>O38/O15</f>
        <v/>
      </c>
      <c r="P39" s="733">
        <f>P38/P15</f>
        <v/>
      </c>
      <c r="Q39" s="733">
        <f>Q38/Q15</f>
        <v/>
      </c>
      <c r="R39" s="733">
        <f>R38/R15</f>
        <v/>
      </c>
      <c r="S39" s="733">
        <f>S38/S15</f>
        <v/>
      </c>
      <c r="T39" s="733">
        <f>T38/T15</f>
        <v/>
      </c>
      <c r="U39" s="733">
        <f>U38/U15</f>
        <v/>
      </c>
      <c r="V39" s="733">
        <f>V38/V15</f>
        <v/>
      </c>
      <c r="W39" s="733">
        <f>W38/W15</f>
        <v/>
      </c>
      <c r="X39" s="733">
        <f>X38/X15</f>
        <v/>
      </c>
      <c r="Y39" s="733">
        <f>Y38/Y15</f>
        <v/>
      </c>
      <c r="Z39" s="733">
        <f>Z38/Z15</f>
        <v/>
      </c>
      <c r="AA39" s="733">
        <f>AA38/AA15</f>
        <v/>
      </c>
      <c r="AB39" s="733">
        <f>AB38/AB15</f>
        <v/>
      </c>
      <c r="AC39" s="733">
        <f>AC38/AC15</f>
        <v/>
      </c>
      <c r="AD39" s="733">
        <f>AD38/AD15</f>
        <v/>
      </c>
      <c r="AE39" s="733">
        <f>AE38/AE15</f>
        <v/>
      </c>
      <c r="AF39" s="733">
        <f>AF38/AF15</f>
        <v/>
      </c>
      <c r="AG39" s="733">
        <f>AG38/AG15</f>
        <v/>
      </c>
      <c r="AH39" s="733">
        <f>AH38/AH15</f>
        <v/>
      </c>
      <c r="AI39" s="733">
        <f>AI38/AI15</f>
        <v/>
      </c>
      <c r="AJ39" s="733">
        <f>AJ38/AJ15</f>
        <v/>
      </c>
      <c r="AK39" s="733">
        <f>AK38/AK15</f>
        <v/>
      </c>
      <c r="AL39" s="733">
        <f>AL38/AL15</f>
        <v/>
      </c>
      <c r="AM39" s="733">
        <f>AM38/AM15</f>
        <v/>
      </c>
      <c r="AN39" s="733">
        <f>AN38/AN15</f>
        <v/>
      </c>
      <c r="AO39" s="733">
        <f>AO38/AO15</f>
        <v/>
      </c>
      <c r="AP39" s="733">
        <f>AP38/AP15</f>
        <v/>
      </c>
      <c r="AQ39" s="733">
        <f>AQ38/AQ15</f>
        <v/>
      </c>
      <c r="AR39" s="733">
        <f>AR38/AR15</f>
        <v/>
      </c>
      <c r="AS39" s="733">
        <f>AS38/AS15</f>
        <v/>
      </c>
      <c r="AT39" s="733">
        <f>AT38/AT15</f>
        <v/>
      </c>
      <c r="AU39" s="733">
        <f>AU38/AU15</f>
        <v/>
      </c>
      <c r="AV39" s="733">
        <f>AV38/AV15</f>
        <v/>
      </c>
      <c r="AW39" s="733">
        <f>AW38/AW15</f>
        <v/>
      </c>
      <c r="AX39" s="733">
        <f>AX38/AX15</f>
        <v/>
      </c>
      <c r="AY39" s="733">
        <f>AY38/AY15</f>
        <v/>
      </c>
      <c r="AZ39" s="733">
        <f>AZ38/AZ15</f>
        <v/>
      </c>
      <c r="BA39" s="733">
        <f>BA38/BA15</f>
        <v/>
      </c>
      <c r="BB39" s="733">
        <f>BB38/BB15</f>
        <v/>
      </c>
      <c r="BC39" s="733">
        <f>BC38/BC15</f>
        <v/>
      </c>
      <c r="BD39" s="733">
        <f>BD38/BD15</f>
        <v/>
      </c>
      <c r="BE39" s="733">
        <f>BE38/BE15</f>
        <v/>
      </c>
      <c r="BF39" s="733">
        <f>BF38/BF15</f>
        <v/>
      </c>
      <c r="BG39" s="733">
        <f>BG38/BG15</f>
        <v/>
      </c>
      <c r="BH39" s="733">
        <f>BH38/BH15</f>
        <v/>
      </c>
      <c r="BI39" s="733">
        <f>BI38/BI15</f>
        <v/>
      </c>
      <c r="BJ39" s="733">
        <f>BJ38/BJ15</f>
        <v/>
      </c>
      <c r="BK39" s="733">
        <f>BK38/BK15</f>
        <v/>
      </c>
      <c r="BL39" s="733">
        <f>BL38/BL15</f>
        <v/>
      </c>
      <c r="BM39" s="733">
        <f>BM38/BM15</f>
        <v/>
      </c>
      <c r="BN39" s="733">
        <f>BN38/BN15</f>
        <v/>
      </c>
      <c r="BO39" s="733">
        <f>BO38/BO15</f>
        <v/>
      </c>
      <c r="BP39" s="733">
        <f>BP38/BP15</f>
        <v/>
      </c>
      <c r="BQ39" s="733">
        <f>BQ38/BQ15</f>
        <v/>
      </c>
      <c r="BR39" s="733">
        <f>BR38/BR15</f>
        <v/>
      </c>
      <c r="BS39" s="733">
        <f>BS38/BS15</f>
        <v/>
      </c>
      <c r="BT39" s="733">
        <f>BT38/BT15</f>
        <v/>
      </c>
      <c r="BU39" s="733">
        <f>BU38/BU15</f>
        <v/>
      </c>
      <c r="BV39" s="733">
        <f>BV38/BV15</f>
        <v/>
      </c>
      <c r="BW39" s="733">
        <f>BW38/BW15</f>
        <v/>
      </c>
      <c r="BX39" s="733">
        <f>BX38/BX15</f>
        <v/>
      </c>
      <c r="BY39" s="733">
        <f>BY38/BY15</f>
        <v/>
      </c>
      <c r="BZ39" s="733">
        <f>BZ38/BZ15</f>
        <v/>
      </c>
      <c r="CA39" s="733">
        <f>CA38/CA15</f>
        <v/>
      </c>
      <c r="CB39" s="733">
        <f>CB38/CB15</f>
        <v/>
      </c>
      <c r="CC39" s="733">
        <f>CC38/CC15</f>
        <v/>
      </c>
      <c r="CD39" s="733">
        <f>CD38/CD15</f>
        <v/>
      </c>
      <c r="CE39" s="733">
        <f>CE38/CE15</f>
        <v/>
      </c>
      <c r="CF39" s="733">
        <f>CF38/CF15</f>
        <v/>
      </c>
      <c r="CG39" s="733">
        <f>CG38/CG15</f>
        <v/>
      </c>
      <c r="CH39" s="733">
        <f>CH38/CH15</f>
        <v/>
      </c>
      <c r="CI39" s="733">
        <f>CI38/CI15</f>
        <v/>
      </c>
      <c r="CJ39" s="733">
        <f>CJ38/CJ15</f>
        <v/>
      </c>
      <c r="CK39" s="733">
        <f>CK38/CK15</f>
        <v/>
      </c>
      <c r="CL39" s="733">
        <f>CL38/CL15</f>
        <v/>
      </c>
      <c r="CM39" s="733">
        <f>CM38/CM15</f>
        <v/>
      </c>
      <c r="CN39" s="733">
        <f>CN38/CN15</f>
        <v/>
      </c>
      <c r="CO39" s="733">
        <f>CO38/CO15</f>
        <v/>
      </c>
      <c r="CP39" s="733">
        <f>CP38/CP15</f>
        <v/>
      </c>
      <c r="CQ39" s="733">
        <f>CQ38/CQ15</f>
        <v/>
      </c>
      <c r="CR39" s="733">
        <f>CR38/CR15</f>
        <v/>
      </c>
      <c r="CS39" s="733">
        <f>CS38/CS15</f>
        <v/>
      </c>
      <c r="CT39" s="733">
        <f>CT38/CT15</f>
        <v/>
      </c>
      <c r="CU39" s="733">
        <f>CU38/CU15</f>
        <v/>
      </c>
      <c r="CV39" s="733">
        <f>CV38/CV15</f>
        <v/>
      </c>
      <c r="CW39" s="733">
        <f>CW38/CW15</f>
        <v/>
      </c>
      <c r="CX39" s="733">
        <f>CX38/CX15</f>
        <v/>
      </c>
      <c r="CY39" s="733">
        <f>CY38/CY15</f>
        <v/>
      </c>
      <c r="CZ39" s="733">
        <f>CZ38/CZ15</f>
        <v/>
      </c>
      <c r="DA39" s="733">
        <f>DA38/DA15</f>
        <v/>
      </c>
      <c r="DB39" s="733">
        <f>DB38/DB15</f>
        <v/>
      </c>
      <c r="DC39" s="733">
        <f>DC38/DC15</f>
        <v/>
      </c>
      <c r="DD39" s="733">
        <f>DD38/DD15</f>
        <v/>
      </c>
      <c r="DE39" s="733">
        <f>DE38/DE15</f>
        <v/>
      </c>
      <c r="DF39" s="733">
        <f>DF38/DF15</f>
        <v/>
      </c>
      <c r="DG39" s="733">
        <f>DG38/DG15</f>
        <v/>
      </c>
      <c r="DH39" s="733">
        <f>DH38/DH15</f>
        <v/>
      </c>
      <c r="DI39" s="733">
        <f>DI38/DI15</f>
        <v/>
      </c>
      <c r="DJ39" s="733">
        <f>DJ38/DJ15</f>
        <v/>
      </c>
      <c r="DK39" s="733">
        <f>DK38/DK15</f>
        <v/>
      </c>
      <c r="DL39" s="733">
        <f>DL38/DL15</f>
        <v/>
      </c>
      <c r="DM39" s="733">
        <f>DM38/DM15</f>
        <v/>
      </c>
      <c r="DN39" s="733">
        <f>DN38/DN15</f>
        <v/>
      </c>
      <c r="DO39" s="733">
        <f>DO38/DO15</f>
        <v/>
      </c>
      <c r="DP39" s="733">
        <f>DP38/DP15</f>
        <v/>
      </c>
    </row>
    <row r="40" ht="12.75" customFormat="1" customHeight="1" s="732">
      <c r="A40" s="702" t="n"/>
      <c r="C40" s="733" t="n"/>
      <c r="D40" s="733" t="n"/>
      <c r="E40" s="733" t="n"/>
      <c r="F40" s="733" t="n"/>
      <c r="G40" s="733" t="n"/>
      <c r="H40" s="733" t="n"/>
      <c r="I40" s="733" t="n"/>
      <c r="J40" s="733" t="n"/>
      <c r="K40" s="733" t="n"/>
      <c r="L40" s="733" t="n"/>
      <c r="M40" s="733" t="n"/>
      <c r="N40" s="733" t="n"/>
      <c r="O40" s="733" t="n"/>
      <c r="P40" s="733" t="n"/>
      <c r="Q40" s="733" t="n"/>
      <c r="R40" s="733" t="n"/>
      <c r="S40" s="733" t="n"/>
      <c r="T40" s="733" t="n"/>
      <c r="U40" s="733" t="n"/>
      <c r="V40" s="733" t="n"/>
      <c r="W40" s="733" t="n"/>
      <c r="X40" s="733" t="n"/>
      <c r="Y40" s="733" t="n"/>
      <c r="Z40" s="733" t="n"/>
      <c r="AA40" s="733" t="n"/>
      <c r="AB40" s="733" t="n"/>
      <c r="AC40" s="733" t="n"/>
      <c r="AD40" s="733" t="n"/>
      <c r="AE40" s="733" t="n"/>
      <c r="AF40" s="733" t="n"/>
      <c r="AG40" s="733" t="n"/>
      <c r="AH40" s="733" t="n"/>
      <c r="AI40" s="733" t="n"/>
      <c r="AJ40" s="733" t="n"/>
      <c r="AK40" s="733" t="n"/>
      <c r="AL40" s="733" t="n"/>
      <c r="AM40" s="733" t="n"/>
      <c r="AN40" s="733" t="n"/>
      <c r="AO40" s="733" t="n"/>
      <c r="AP40" s="733" t="n"/>
      <c r="AQ40" s="733" t="n"/>
      <c r="AR40" s="733" t="n"/>
      <c r="AS40" s="733" t="n"/>
      <c r="AT40" s="733" t="n"/>
      <c r="AU40" s="733" t="n"/>
      <c r="AV40" s="733" t="n"/>
      <c r="AW40" s="733" t="n"/>
      <c r="AX40" s="733" t="n"/>
      <c r="AY40" s="733" t="n"/>
      <c r="AZ40" s="733" t="n"/>
      <c r="BA40" s="733" t="n"/>
      <c r="BB40" s="733" t="n"/>
      <c r="BC40" s="733" t="n"/>
      <c r="BD40" s="733" t="n"/>
      <c r="BE40" s="733" t="n"/>
      <c r="BF40" s="733" t="n"/>
      <c r="BG40" s="733" t="n"/>
      <c r="BH40" s="733" t="n"/>
      <c r="BI40" s="733" t="n"/>
      <c r="BJ40" s="733" t="n"/>
      <c r="BK40" s="733" t="n"/>
      <c r="BL40" s="733" t="n"/>
      <c r="BM40" s="733" t="n"/>
      <c r="BN40" s="733" t="n"/>
      <c r="BO40" s="733" t="n"/>
      <c r="BP40" s="733" t="n"/>
      <c r="BQ40" s="733" t="n"/>
      <c r="BR40" s="733" t="n"/>
      <c r="BS40" s="733" t="n"/>
      <c r="BT40" s="733" t="n"/>
      <c r="BU40" s="733" t="n"/>
      <c r="BV40" s="733" t="n"/>
      <c r="BW40" s="733" t="n"/>
      <c r="BX40" s="733" t="n"/>
      <c r="BY40" s="733" t="n"/>
      <c r="BZ40" s="733" t="n"/>
      <c r="CA40" s="733" t="n"/>
      <c r="CB40" s="733" t="n"/>
      <c r="CC40" s="733" t="n"/>
      <c r="CD40" s="733" t="n"/>
      <c r="CE40" s="733" t="n"/>
      <c r="CF40" s="733" t="n"/>
      <c r="CG40" s="733" t="n"/>
      <c r="CH40" s="733" t="n"/>
      <c r="CI40" s="733" t="n"/>
      <c r="CJ40" s="733" t="n"/>
      <c r="CK40" s="733" t="n"/>
      <c r="CL40" s="733" t="n"/>
      <c r="CM40" s="733" t="n"/>
      <c r="CN40" s="733" t="n"/>
      <c r="CO40" s="733" t="n"/>
      <c r="CP40" s="733" t="n"/>
      <c r="CQ40" s="733" t="n"/>
      <c r="CR40" s="733" t="n"/>
      <c r="CS40" s="733" t="n"/>
      <c r="CT40" s="733" t="n"/>
      <c r="CU40" s="733" t="n"/>
      <c r="CV40" s="733" t="n"/>
      <c r="CW40" s="733" t="n"/>
      <c r="CX40" s="733" t="n"/>
      <c r="CY40" s="733" t="n"/>
      <c r="CZ40" s="733" t="n"/>
      <c r="DA40" s="733" t="n"/>
      <c r="DB40" s="733" t="n"/>
      <c r="DC40" s="733" t="n"/>
      <c r="DD40" s="733" t="n"/>
      <c r="DE40" s="733" t="n"/>
      <c r="DF40" s="733" t="n"/>
      <c r="DG40" s="733" t="n"/>
      <c r="DH40" s="733" t="n"/>
      <c r="DI40" s="733" t="n"/>
      <c r="DJ40" s="733" t="n"/>
      <c r="DK40" s="733" t="n"/>
      <c r="DL40" s="733" t="n"/>
      <c r="DM40" s="733" t="n"/>
      <c r="DN40" s="733" t="n"/>
      <c r="DO40" s="733" t="n"/>
      <c r="DP40" s="733" t="n"/>
    </row>
    <row r="41" ht="15.75" customHeight="1" thickBot="1">
      <c r="B41" s="712" t="n"/>
      <c r="C41" s="713" t="n"/>
      <c r="D41" s="713" t="n"/>
      <c r="E41" s="713" t="n"/>
      <c r="F41" s="713" t="n"/>
      <c r="G41" s="713" t="n"/>
      <c r="H41" s="713" t="n"/>
      <c r="I41" s="713" t="n"/>
      <c r="J41" s="713" t="n"/>
      <c r="K41" s="713" t="n"/>
      <c r="L41" s="713" t="n"/>
      <c r="M41" s="713" t="n"/>
      <c r="N41" s="713" t="n"/>
      <c r="O41" s="713" t="n"/>
      <c r="P41" s="713" t="n"/>
      <c r="Q41" s="713" t="n"/>
      <c r="R41" s="713" t="n"/>
      <c r="S41" s="713" t="n"/>
      <c r="T41" s="713" t="n"/>
      <c r="U41" s="713" t="n"/>
      <c r="V41" s="713" t="n"/>
      <c r="W41" s="713" t="n"/>
      <c r="X41" s="713" t="n"/>
      <c r="Y41" s="713" t="n"/>
      <c r="Z41" s="713" t="n"/>
      <c r="AA41" s="713" t="n"/>
      <c r="AB41" s="713" t="n"/>
      <c r="AC41" s="713" t="n"/>
      <c r="AD41" s="713" t="n"/>
      <c r="AE41" s="713" t="n"/>
      <c r="AF41" s="713" t="n"/>
      <c r="AG41" s="713" t="n"/>
      <c r="AH41" s="713" t="n"/>
      <c r="AI41" s="713" t="n"/>
      <c r="AJ41" s="713" t="n"/>
      <c r="AK41" s="713" t="n"/>
      <c r="AL41" s="713" t="n"/>
      <c r="AM41" s="713" t="n"/>
      <c r="AN41" s="713" t="n"/>
      <c r="AO41" s="713" t="n"/>
      <c r="AP41" s="713" t="n"/>
      <c r="AQ41" s="713" t="n"/>
      <c r="AR41" s="713" t="n"/>
      <c r="AS41" s="713" t="n"/>
      <c r="AT41" s="713" t="n"/>
      <c r="AU41" s="713" t="n"/>
      <c r="AV41" s="713" t="n"/>
      <c r="AW41" s="713" t="n"/>
      <c r="AX41" s="713" t="n"/>
      <c r="AY41" s="713" t="n"/>
      <c r="AZ41" s="713" t="n"/>
      <c r="BA41" s="713" t="n"/>
      <c r="BB41" s="713" t="n"/>
      <c r="BC41" s="713" t="n"/>
      <c r="BD41" s="713" t="n"/>
      <c r="BE41" s="713" t="n"/>
      <c r="BF41" s="713" t="n"/>
      <c r="BG41" s="713" t="n"/>
      <c r="BH41" s="713" t="n"/>
      <c r="BI41" s="713" t="n"/>
      <c r="BJ41" s="713" t="n"/>
      <c r="BK41" s="713" t="n"/>
      <c r="BL41" s="713" t="n"/>
      <c r="BM41" s="713" t="n"/>
      <c r="BN41" s="713" t="n"/>
      <c r="BO41" s="713" t="n"/>
      <c r="BP41" s="713" t="n"/>
      <c r="BQ41" s="713" t="n"/>
      <c r="BR41" s="713" t="n"/>
      <c r="BS41" s="713" t="n"/>
      <c r="BT41" s="713" t="n"/>
      <c r="BU41" s="713" t="n"/>
      <c r="BV41" s="713" t="n"/>
      <c r="BW41" s="713" t="n"/>
      <c r="BX41" s="713" t="n"/>
      <c r="BY41" s="713" t="n"/>
      <c r="BZ41" s="713" t="n"/>
      <c r="CA41" s="713" t="n"/>
      <c r="CB41" s="713" t="n"/>
      <c r="CC41" s="713" t="n"/>
      <c r="CD41" s="713" t="n"/>
      <c r="CE41" s="713" t="n"/>
      <c r="CF41" s="713" t="n"/>
      <c r="CG41" s="713" t="n"/>
      <c r="CH41" s="713" t="n"/>
      <c r="CI41" s="713" t="n"/>
      <c r="CJ41" s="713" t="n"/>
      <c r="CK41" s="713" t="n"/>
      <c r="CL41" s="713" t="n"/>
      <c r="CM41" s="713" t="n"/>
      <c r="CN41" s="713" t="n"/>
      <c r="CO41" s="713" t="n"/>
      <c r="CP41" s="713" t="n"/>
      <c r="CQ41" s="713" t="n"/>
      <c r="CR41" s="713" t="n"/>
      <c r="CS41" s="713" t="n"/>
      <c r="CT41" s="713" t="n"/>
      <c r="CU41" s="713" t="n"/>
      <c r="CV41" s="713" t="n"/>
      <c r="CW41" s="713" t="n"/>
      <c r="CX41" s="713" t="n"/>
      <c r="CY41" s="713" t="n"/>
      <c r="CZ41" s="713" t="n"/>
      <c r="DA41" s="713" t="n"/>
      <c r="DB41" s="713" t="n"/>
      <c r="DC41" s="713" t="n"/>
      <c r="DD41" s="713" t="n"/>
      <c r="DE41" s="713" t="n"/>
      <c r="DF41" s="713" t="n"/>
      <c r="DG41" s="713" t="n"/>
      <c r="DH41" s="713" t="n"/>
      <c r="DI41" s="713" t="n"/>
      <c r="DJ41" s="713" t="n"/>
      <c r="DK41" s="713" t="n"/>
      <c r="DL41" s="713" t="n"/>
      <c r="DM41" s="713" t="n"/>
      <c r="DN41" s="713" t="n"/>
      <c r="DO41" s="713" t="n"/>
      <c r="DP41" s="713" t="n"/>
    </row>
    <row r="42" ht="15.75" customHeight="1" thickTop="1">
      <c r="A42" s="714" t="n"/>
      <c r="B42" s="715" t="n"/>
      <c r="C42" s="1505" t="n"/>
      <c r="D42" s="1505" t="n"/>
      <c r="E42" s="1505" t="n"/>
      <c r="F42" s="1505" t="n"/>
      <c r="G42" s="1505" t="n"/>
      <c r="H42" s="1505" t="n"/>
      <c r="I42" s="1505" t="n"/>
      <c r="J42" s="1505" t="n"/>
      <c r="K42" s="1505" t="n"/>
      <c r="L42" s="1505" t="n"/>
      <c r="M42" s="1505" t="n"/>
      <c r="N42" s="1505" t="n"/>
      <c r="O42" s="1505" t="n"/>
      <c r="P42" s="1507">
        <f>SUM(C42:O42)</f>
        <v/>
      </c>
      <c r="Q42" s="1505" t="n"/>
      <c r="R42" s="1505" t="n"/>
      <c r="S42" s="1505" t="n"/>
      <c r="T42" s="1505" t="n"/>
      <c r="U42" s="1505" t="n"/>
      <c r="V42" s="1505" t="n"/>
      <c r="W42" s="1505" t="n"/>
      <c r="X42" s="1505" t="n"/>
      <c r="Y42" s="1505" t="n"/>
      <c r="Z42" s="1505" t="n"/>
      <c r="AA42" s="1505" t="n"/>
      <c r="AB42" s="1505" t="n"/>
      <c r="AC42" s="1507">
        <f>SUM(Q42:AB42)</f>
        <v/>
      </c>
      <c r="AD42" s="1505" t="n"/>
      <c r="AE42" s="1505" t="n"/>
      <c r="AF42" s="1505" t="n"/>
      <c r="AG42" s="1505" t="n"/>
      <c r="AH42" s="1505" t="n"/>
      <c r="AI42" s="1505" t="n"/>
      <c r="AJ42" s="1505" t="n"/>
      <c r="AK42" s="1505" t="n"/>
      <c r="AL42" s="1505" t="n"/>
      <c r="AM42" s="1505" t="n"/>
      <c r="AN42" s="1505" t="n"/>
      <c r="AO42" s="1505" t="n"/>
      <c r="AP42" s="1507">
        <f>SUM(AD42:AO42)</f>
        <v/>
      </c>
      <c r="AQ42" s="1505" t="n"/>
      <c r="AR42" s="1505" t="n"/>
      <c r="AS42" s="1505" t="n"/>
      <c r="AT42" s="1505" t="n"/>
      <c r="AU42" s="1505" t="n"/>
      <c r="AV42" s="1505" t="n"/>
      <c r="AW42" s="1505" t="n"/>
      <c r="AX42" s="1505" t="n"/>
      <c r="AY42" s="1505" t="n"/>
      <c r="AZ42" s="1505" t="n"/>
      <c r="BA42" s="1505" t="n"/>
      <c r="BB42" s="1505" t="n"/>
      <c r="BC42" s="1507">
        <f>SUM(AQ42:BB42)</f>
        <v/>
      </c>
      <c r="BD42" s="1505" t="n"/>
      <c r="BE42" s="1505" t="n"/>
      <c r="BF42" s="1505" t="n"/>
      <c r="BG42" s="1505" t="n"/>
      <c r="BH42" s="1505" t="n"/>
      <c r="BI42" s="1505" t="n"/>
      <c r="BJ42" s="1505" t="n"/>
      <c r="BK42" s="1505" t="n"/>
      <c r="BL42" s="1505" t="n"/>
      <c r="BM42" s="1505" t="n"/>
      <c r="BN42" s="1505" t="n"/>
      <c r="BO42" s="1505" t="n"/>
      <c r="BP42" s="1507">
        <f>SUM(BD42:BO42)</f>
        <v/>
      </c>
      <c r="BQ42" s="1505" t="n"/>
      <c r="BR42" s="1505" t="n"/>
      <c r="BS42" s="1505" t="n"/>
      <c r="BT42" s="1505" t="n"/>
      <c r="BU42" s="1505" t="n"/>
      <c r="BV42" s="1505" t="n"/>
      <c r="BW42" s="1505" t="n"/>
      <c r="BX42" s="1505" t="n"/>
      <c r="BY42" s="1505" t="n"/>
      <c r="BZ42" s="1505" t="n"/>
      <c r="CA42" s="1505" t="n"/>
      <c r="CB42" s="1505" t="n"/>
      <c r="CC42" s="1507">
        <f>SUM(BQ42:CB42)</f>
        <v/>
      </c>
      <c r="CD42" s="1505" t="n"/>
      <c r="CE42" s="1505" t="n"/>
      <c r="CF42" s="1505" t="n"/>
      <c r="CG42" s="1505" t="n"/>
      <c r="CH42" s="1505" t="n"/>
      <c r="CI42" s="1505" t="n"/>
      <c r="CJ42" s="1505" t="n"/>
      <c r="CK42" s="1505" t="n"/>
      <c r="CL42" s="1505" t="n"/>
      <c r="CM42" s="1505" t="n"/>
      <c r="CN42" s="1505" t="n"/>
      <c r="CO42" s="1505" t="n"/>
      <c r="CP42" s="1507">
        <f>SUM(CD42:CO42)</f>
        <v/>
      </c>
      <c r="CQ42" s="1505" t="n"/>
      <c r="CR42" s="1505" t="n"/>
      <c r="CS42" s="1505" t="n"/>
      <c r="CT42" s="1505" t="n"/>
      <c r="CU42" s="1505" t="n"/>
      <c r="CV42" s="1505" t="n"/>
      <c r="CW42" s="1505" t="n"/>
      <c r="CX42" s="1505" t="n"/>
      <c r="CY42" s="1505" t="n"/>
      <c r="CZ42" s="1505" t="n"/>
      <c r="DA42" s="1505" t="n"/>
      <c r="DB42" s="1505" t="n"/>
      <c r="DC42" s="1507">
        <f>SUM(CQ42:DB42)</f>
        <v/>
      </c>
      <c r="DD42" s="1505" t="n"/>
      <c r="DE42" s="1505" t="n"/>
      <c r="DF42" s="1505" t="n"/>
      <c r="DG42" s="1505" t="n"/>
      <c r="DH42" s="1505" t="n"/>
      <c r="DI42" s="1505" t="n"/>
      <c r="DJ42" s="1505" t="n"/>
      <c r="DK42" s="1505" t="n"/>
      <c r="DL42" s="1505" t="n"/>
      <c r="DM42" s="1505" t="n"/>
      <c r="DN42" s="1505" t="n"/>
      <c r="DO42" s="1505" t="n"/>
      <c r="DP42" s="1507">
        <f>SUM(DD42:DO42)</f>
        <v/>
      </c>
    </row>
    <row r="43">
      <c r="A43" s="714" t="n"/>
      <c r="B43" s="719" t="n"/>
      <c r="C43" s="1505" t="n"/>
      <c r="D43" s="1505" t="n"/>
      <c r="E43" s="1505" t="n"/>
      <c r="F43" s="1505" t="n"/>
      <c r="G43" s="1505" t="n"/>
      <c r="H43" s="1505" t="n"/>
      <c r="I43" s="1505" t="n"/>
      <c r="J43" s="1505" t="n"/>
      <c r="K43" s="1505" t="n"/>
      <c r="L43" s="1505" t="n"/>
      <c r="M43" s="1505" t="n"/>
      <c r="N43" s="1505" t="n"/>
      <c r="O43" s="1505" t="n"/>
      <c r="P43" s="1507">
        <f>SUM(C43:O43)</f>
        <v/>
      </c>
      <c r="Q43" s="1505" t="n"/>
      <c r="R43" s="1505" t="n"/>
      <c r="S43" s="1505" t="n"/>
      <c r="T43" s="1505" t="n"/>
      <c r="U43" s="1505" t="n"/>
      <c r="V43" s="1505" t="n"/>
      <c r="W43" s="1505" t="n"/>
      <c r="X43" s="1505" t="n"/>
      <c r="Y43" s="1505" t="n"/>
      <c r="Z43" s="1505" t="n"/>
      <c r="AA43" s="1505" t="n"/>
      <c r="AB43" s="1505" t="n"/>
      <c r="AC43" s="1507">
        <f>SUM(Q43:AB43)</f>
        <v/>
      </c>
      <c r="AD43" s="1505" t="n"/>
      <c r="AE43" s="1505" t="n"/>
      <c r="AF43" s="1505" t="n"/>
      <c r="AG43" s="1505" t="n"/>
      <c r="AH43" s="1505" t="n"/>
      <c r="AI43" s="1505" t="n"/>
      <c r="AJ43" s="1505" t="n"/>
      <c r="AK43" s="1505" t="n"/>
      <c r="AL43" s="1505" t="n"/>
      <c r="AM43" s="1505" t="n"/>
      <c r="AN43" s="1505" t="n"/>
      <c r="AO43" s="1505" t="n"/>
      <c r="AP43" s="1507">
        <f>SUM(AD43:AO43)</f>
        <v/>
      </c>
      <c r="AQ43" s="1505" t="n"/>
      <c r="AR43" s="1505" t="n"/>
      <c r="AS43" s="1505" t="n"/>
      <c r="AT43" s="1505" t="n"/>
      <c r="AU43" s="1505" t="n"/>
      <c r="AV43" s="1505" t="n"/>
      <c r="AW43" s="1505" t="n"/>
      <c r="AX43" s="1505" t="n"/>
      <c r="AY43" s="1505" t="n"/>
      <c r="AZ43" s="1505" t="n"/>
      <c r="BA43" s="1505" t="n"/>
      <c r="BB43" s="1505" t="n"/>
      <c r="BC43" s="1507">
        <f>SUM(AQ43:BB43)</f>
        <v/>
      </c>
      <c r="BD43" s="1505" t="n"/>
      <c r="BE43" s="1505" t="n"/>
      <c r="BF43" s="1505" t="n"/>
      <c r="BG43" s="1505" t="n"/>
      <c r="BH43" s="1505" t="n"/>
      <c r="BI43" s="1505" t="n"/>
      <c r="BJ43" s="1505" t="n"/>
      <c r="BK43" s="1505" t="n"/>
      <c r="BL43" s="1505" t="n"/>
      <c r="BM43" s="1505" t="n"/>
      <c r="BN43" s="1505" t="n"/>
      <c r="BO43" s="1505" t="n"/>
      <c r="BP43" s="1507">
        <f>SUM(BD43:BO43)</f>
        <v/>
      </c>
      <c r="BQ43" s="1505" t="n"/>
      <c r="BR43" s="1505" t="n"/>
      <c r="BS43" s="1505" t="n"/>
      <c r="BT43" s="1505" t="n"/>
      <c r="BU43" s="1505" t="n"/>
      <c r="BV43" s="1505" t="n"/>
      <c r="BW43" s="1505" t="n"/>
      <c r="BX43" s="1505" t="n"/>
      <c r="BY43" s="1505" t="n"/>
      <c r="BZ43" s="1505" t="n"/>
      <c r="CA43" s="1505" t="n"/>
      <c r="CB43" s="1505" t="n"/>
      <c r="CC43" s="1507">
        <f>SUM(BQ43:CB43)</f>
        <v/>
      </c>
      <c r="CD43" s="1505" t="n"/>
      <c r="CE43" s="1505" t="n"/>
      <c r="CF43" s="1505" t="n"/>
      <c r="CG43" s="1505" t="n"/>
      <c r="CH43" s="1505" t="n"/>
      <c r="CI43" s="1505" t="n"/>
      <c r="CJ43" s="1505" t="n"/>
      <c r="CK43" s="1505" t="n"/>
      <c r="CL43" s="1505" t="n"/>
      <c r="CM43" s="1505" t="n"/>
      <c r="CN43" s="1505" t="n"/>
      <c r="CO43" s="1505" t="n"/>
      <c r="CP43" s="1507">
        <f>SUM(CD43:CO43)</f>
        <v/>
      </c>
      <c r="CQ43" s="1505" t="n"/>
      <c r="CR43" s="1505" t="n"/>
      <c r="CS43" s="1505" t="n"/>
      <c r="CT43" s="1505" t="n"/>
      <c r="CU43" s="1505" t="n"/>
      <c r="CV43" s="1505" t="n"/>
      <c r="CW43" s="1505" t="n"/>
      <c r="CX43" s="1505" t="n"/>
      <c r="CY43" s="1505" t="n"/>
      <c r="CZ43" s="1505" t="n"/>
      <c r="DA43" s="1505" t="n"/>
      <c r="DB43" s="1505" t="n"/>
      <c r="DC43" s="1507">
        <f>SUM(CQ43:DB43)</f>
        <v/>
      </c>
      <c r="DD43" s="1505" t="n"/>
      <c r="DE43" s="1505" t="n"/>
      <c r="DF43" s="1505" t="n"/>
      <c r="DG43" s="1505" t="n"/>
      <c r="DH43" s="1505" t="n"/>
      <c r="DI43" s="1505" t="n"/>
      <c r="DJ43" s="1505" t="n"/>
      <c r="DK43" s="1505" t="n"/>
      <c r="DL43" s="1505" t="n"/>
      <c r="DM43" s="1505" t="n"/>
      <c r="DN43" s="1505" t="n"/>
      <c r="DO43" s="1505" t="n"/>
      <c r="DP43" s="1507">
        <f>SUM(DD43:DO43)</f>
        <v/>
      </c>
    </row>
    <row r="44">
      <c r="A44" s="714" t="n"/>
      <c r="B44" s="719" t="n"/>
      <c r="C44" s="1505" t="n"/>
      <c r="D44" s="1505" t="n"/>
      <c r="E44" s="1505" t="n"/>
      <c r="F44" s="1505" t="n"/>
      <c r="G44" s="1505" t="n"/>
      <c r="H44" s="1505" t="n"/>
      <c r="I44" s="1505" t="n"/>
      <c r="J44" s="1505" t="n"/>
      <c r="K44" s="1505" t="n"/>
      <c r="L44" s="1505" t="n"/>
      <c r="M44" s="1505" t="n"/>
      <c r="N44" s="1505" t="n"/>
      <c r="O44" s="1505" t="n"/>
      <c r="P44" s="1507">
        <f>SUM(C44:O44)</f>
        <v/>
      </c>
      <c r="Q44" s="1505" t="n"/>
      <c r="R44" s="1505" t="n"/>
      <c r="S44" s="1505" t="n"/>
      <c r="T44" s="1505" t="n"/>
      <c r="U44" s="1505" t="n"/>
      <c r="V44" s="1505" t="n"/>
      <c r="W44" s="1505" t="n"/>
      <c r="X44" s="1505" t="n"/>
      <c r="Y44" s="1505" t="n"/>
      <c r="Z44" s="1505" t="n"/>
      <c r="AA44" s="1505" t="n"/>
      <c r="AB44" s="1505" t="n"/>
      <c r="AC44" s="1507">
        <f>SUM(Q44:AB44)</f>
        <v/>
      </c>
      <c r="AD44" s="1505" t="n"/>
      <c r="AE44" s="1505" t="n"/>
      <c r="AF44" s="1505" t="n"/>
      <c r="AG44" s="1505" t="n"/>
      <c r="AH44" s="1505" t="n"/>
      <c r="AI44" s="1505" t="n"/>
      <c r="AJ44" s="1505" t="n"/>
      <c r="AK44" s="1505" t="n"/>
      <c r="AL44" s="1505" t="n"/>
      <c r="AM44" s="1505" t="n"/>
      <c r="AN44" s="1505" t="n"/>
      <c r="AO44" s="1505" t="n"/>
      <c r="AP44" s="1507">
        <f>SUM(AD44:AO44)</f>
        <v/>
      </c>
      <c r="AQ44" s="1505" t="n"/>
      <c r="AR44" s="1505" t="n"/>
      <c r="AS44" s="1505" t="n"/>
      <c r="AT44" s="1505" t="n"/>
      <c r="AU44" s="1505" t="n"/>
      <c r="AV44" s="1505" t="n"/>
      <c r="AW44" s="1505" t="n"/>
      <c r="AX44" s="1505" t="n"/>
      <c r="AY44" s="1505" t="n"/>
      <c r="AZ44" s="1505" t="n"/>
      <c r="BA44" s="1505" t="n"/>
      <c r="BB44" s="1505" t="n"/>
      <c r="BC44" s="1507">
        <f>SUM(AQ44:BB44)</f>
        <v/>
      </c>
      <c r="BD44" s="1505" t="n"/>
      <c r="BE44" s="1505" t="n"/>
      <c r="BF44" s="1505" t="n"/>
      <c r="BG44" s="1505" t="n"/>
      <c r="BH44" s="1505" t="n"/>
      <c r="BI44" s="1505" t="n"/>
      <c r="BJ44" s="1505" t="n"/>
      <c r="BK44" s="1505" t="n"/>
      <c r="BL44" s="1505" t="n"/>
      <c r="BM44" s="1505" t="n"/>
      <c r="BN44" s="1505" t="n"/>
      <c r="BO44" s="1505" t="n"/>
      <c r="BP44" s="1507">
        <f>SUM(BD44:BO44)</f>
        <v/>
      </c>
      <c r="BQ44" s="1505" t="n"/>
      <c r="BR44" s="1505" t="n"/>
      <c r="BS44" s="1505" t="n"/>
      <c r="BT44" s="1505" t="n"/>
      <c r="BU44" s="1505" t="n"/>
      <c r="BV44" s="1505" t="n"/>
      <c r="BW44" s="1505" t="n"/>
      <c r="BX44" s="1505" t="n"/>
      <c r="BY44" s="1505" t="n"/>
      <c r="BZ44" s="1505" t="n"/>
      <c r="CA44" s="1505" t="n"/>
      <c r="CB44" s="1505" t="n"/>
      <c r="CC44" s="1507">
        <f>SUM(BQ44:CB44)</f>
        <v/>
      </c>
      <c r="CD44" s="1505" t="n"/>
      <c r="CE44" s="1505" t="n"/>
      <c r="CF44" s="1505" t="n"/>
      <c r="CG44" s="1505" t="n"/>
      <c r="CH44" s="1505" t="n"/>
      <c r="CI44" s="1505" t="n"/>
      <c r="CJ44" s="1505" t="n"/>
      <c r="CK44" s="1505" t="n"/>
      <c r="CL44" s="1505" t="n"/>
      <c r="CM44" s="1505" t="n"/>
      <c r="CN44" s="1505" t="n"/>
      <c r="CO44" s="1505" t="n"/>
      <c r="CP44" s="1507">
        <f>SUM(CD44:CO44)</f>
        <v/>
      </c>
      <c r="CQ44" s="1505" t="n"/>
      <c r="CR44" s="1505" t="n"/>
      <c r="CS44" s="1505" t="n"/>
      <c r="CT44" s="1505" t="n"/>
      <c r="CU44" s="1505" t="n"/>
      <c r="CV44" s="1505" t="n"/>
      <c r="CW44" s="1505" t="n"/>
      <c r="CX44" s="1505" t="n"/>
      <c r="CY44" s="1505" t="n"/>
      <c r="CZ44" s="1505" t="n"/>
      <c r="DA44" s="1505" t="n"/>
      <c r="DB44" s="1505" t="n"/>
      <c r="DC44" s="1507">
        <f>SUM(CQ44:DB44)</f>
        <v/>
      </c>
      <c r="DD44" s="1505" t="n"/>
      <c r="DE44" s="1505" t="n"/>
      <c r="DF44" s="1505" t="n"/>
      <c r="DG44" s="1505" t="n"/>
      <c r="DH44" s="1505" t="n"/>
      <c r="DI44" s="1505" t="n"/>
      <c r="DJ44" s="1505" t="n"/>
      <c r="DK44" s="1505" t="n"/>
      <c r="DL44" s="1505" t="n"/>
      <c r="DM44" s="1505" t="n"/>
      <c r="DN44" s="1505" t="n"/>
      <c r="DO44" s="1505" t="n"/>
      <c r="DP44" s="1507">
        <f>SUM(DD44:DO44)</f>
        <v/>
      </c>
    </row>
    <row r="45" hidden="1">
      <c r="A45" s="714" t="n"/>
      <c r="B45" s="724" t="n"/>
      <c r="C45" s="1505" t="n"/>
      <c r="D45" s="1505" t="n"/>
      <c r="E45" s="1505" t="n"/>
      <c r="F45" s="1505" t="n"/>
      <c r="G45" s="1505" t="n"/>
      <c r="H45" s="1505" t="n"/>
      <c r="I45" s="1505" t="n"/>
      <c r="J45" s="1505" t="n"/>
      <c r="K45" s="1505" t="n"/>
      <c r="L45" s="1505" t="n"/>
      <c r="M45" s="1505" t="n"/>
      <c r="N45" s="1505" t="n"/>
      <c r="O45" s="1505" t="n"/>
      <c r="P45" s="1507">
        <f>SUM(C45:O45)</f>
        <v/>
      </c>
      <c r="Q45" s="1505" t="n"/>
      <c r="R45" s="1505" t="n"/>
      <c r="S45" s="1505" t="n"/>
      <c r="T45" s="1505" t="n"/>
      <c r="U45" s="1505" t="n"/>
      <c r="V45" s="1505" t="n"/>
      <c r="W45" s="1505" t="n"/>
      <c r="X45" s="1505" t="n"/>
      <c r="Y45" s="1505" t="n"/>
      <c r="Z45" s="1505" t="n"/>
      <c r="AA45" s="1505" t="n"/>
      <c r="AB45" s="1505" t="n"/>
      <c r="AC45" s="1507">
        <f>SUM(Q45:AB45)</f>
        <v/>
      </c>
      <c r="AD45" s="1505" t="n"/>
      <c r="AE45" s="1505" t="n"/>
      <c r="AF45" s="1505" t="n"/>
      <c r="AG45" s="1505" t="n"/>
      <c r="AH45" s="1505" t="n"/>
      <c r="AI45" s="1505" t="n"/>
      <c r="AJ45" s="1505" t="n"/>
      <c r="AK45" s="1505" t="n"/>
      <c r="AL45" s="1505" t="n"/>
      <c r="AM45" s="1505" t="n"/>
      <c r="AN45" s="1505" t="n"/>
      <c r="AO45" s="1505" t="n"/>
      <c r="AP45" s="1507">
        <f>SUM(AD45:AO45)</f>
        <v/>
      </c>
      <c r="AQ45" s="1505" t="n"/>
      <c r="AR45" s="1505" t="n"/>
      <c r="AS45" s="1505" t="n"/>
      <c r="AT45" s="1505" t="n"/>
      <c r="AU45" s="1505" t="n"/>
      <c r="AV45" s="1505" t="n"/>
      <c r="AW45" s="1505" t="n"/>
      <c r="AX45" s="1505" t="n"/>
      <c r="AY45" s="1505" t="n"/>
      <c r="AZ45" s="1505" t="n"/>
      <c r="BA45" s="1505" t="n"/>
      <c r="BB45" s="1505" t="n"/>
      <c r="BC45" s="1507">
        <f>SUM(AQ45:BB45)</f>
        <v/>
      </c>
      <c r="BD45" s="1505" t="n"/>
      <c r="BE45" s="1505" t="n"/>
      <c r="BF45" s="1505" t="n"/>
      <c r="BG45" s="1505" t="n"/>
      <c r="BH45" s="1505" t="n"/>
      <c r="BI45" s="1505" t="n"/>
      <c r="BJ45" s="1505" t="n"/>
      <c r="BK45" s="1505" t="n"/>
      <c r="BL45" s="1505" t="n"/>
      <c r="BM45" s="1505" t="n"/>
      <c r="BN45" s="1505" t="n"/>
      <c r="BO45" s="1505" t="n"/>
      <c r="BP45" s="1507">
        <f>SUM(BD45:BO45)</f>
        <v/>
      </c>
      <c r="BQ45" s="1505" t="n"/>
      <c r="BR45" s="1505" t="n"/>
      <c r="BS45" s="1505" t="n"/>
      <c r="BT45" s="1505" t="n"/>
      <c r="BU45" s="1505" t="n"/>
      <c r="BV45" s="1505" t="n"/>
      <c r="BW45" s="1505" t="n"/>
      <c r="BX45" s="1505" t="n"/>
      <c r="BY45" s="1505" t="n"/>
      <c r="BZ45" s="1505" t="n"/>
      <c r="CA45" s="1505" t="n"/>
      <c r="CB45" s="1505" t="n"/>
      <c r="CC45" s="1507">
        <f>SUM(BQ45:CB45)</f>
        <v/>
      </c>
      <c r="CD45" s="1505" t="n"/>
      <c r="CE45" s="1505" t="n"/>
      <c r="CF45" s="1505" t="n"/>
      <c r="CG45" s="1505" t="n"/>
      <c r="CH45" s="1505" t="n"/>
      <c r="CI45" s="1505" t="n"/>
      <c r="CJ45" s="1505" t="n"/>
      <c r="CK45" s="1505" t="n"/>
      <c r="CL45" s="1505" t="n"/>
      <c r="CM45" s="1505" t="n"/>
      <c r="CN45" s="1505" t="n"/>
      <c r="CO45" s="1505" t="n"/>
      <c r="CP45" s="1507">
        <f>SUM(CD45:CO45)</f>
        <v/>
      </c>
      <c r="CQ45" s="1505" t="n"/>
      <c r="CR45" s="1505" t="n"/>
      <c r="CS45" s="1505" t="n"/>
      <c r="CT45" s="1505" t="n"/>
      <c r="CU45" s="1505" t="n"/>
      <c r="CV45" s="1505" t="n"/>
      <c r="CW45" s="1505" t="n"/>
      <c r="CX45" s="1505" t="n"/>
      <c r="CY45" s="1505" t="n"/>
      <c r="CZ45" s="1505" t="n"/>
      <c r="DA45" s="1505" t="n"/>
      <c r="DB45" s="1505" t="n"/>
      <c r="DC45" s="1507">
        <f>SUM(CQ45:DB45)</f>
        <v/>
      </c>
      <c r="DD45" s="1505" t="n"/>
      <c r="DE45" s="1505" t="n"/>
      <c r="DF45" s="1505" t="n"/>
      <c r="DG45" s="1505" t="n"/>
      <c r="DH45" s="1505" t="n"/>
      <c r="DI45" s="1505" t="n"/>
      <c r="DJ45" s="1505" t="n"/>
      <c r="DK45" s="1505" t="n"/>
      <c r="DL45" s="1505" t="n"/>
      <c r="DM45" s="1505" t="n"/>
      <c r="DN45" s="1505" t="n"/>
      <c r="DO45" s="1505" t="n"/>
      <c r="DP45" s="1507">
        <f>SUM(DD45:DO45)</f>
        <v/>
      </c>
    </row>
    <row r="46">
      <c r="A46" s="714" t="n"/>
      <c r="B46" s="720" t="n"/>
      <c r="C46" s="1550">
        <f>SUM(C42:C45)</f>
        <v/>
      </c>
      <c r="D46" s="1550">
        <f>SUM(D42:D45)</f>
        <v/>
      </c>
      <c r="E46" s="1550">
        <f>SUM(E42:E45)</f>
        <v/>
      </c>
      <c r="F46" s="1550">
        <f>SUM(F42:F45)</f>
        <v/>
      </c>
      <c r="G46" s="1550">
        <f>SUM(G42:G45)</f>
        <v/>
      </c>
      <c r="H46" s="1550">
        <f>SUM(H42:H45)</f>
        <v/>
      </c>
      <c r="I46" s="1550">
        <f>SUM(I42:I45)</f>
        <v/>
      </c>
      <c r="J46" s="1550">
        <f>SUM(J42:J45)</f>
        <v/>
      </c>
      <c r="K46" s="1550">
        <f>SUM(K42:K45)</f>
        <v/>
      </c>
      <c r="L46" s="1550">
        <f>SUM(L42:L45)</f>
        <v/>
      </c>
      <c r="M46" s="1550">
        <f>SUM(M42:M45)</f>
        <v/>
      </c>
      <c r="N46" s="1550">
        <f>SUM(N42:N45)</f>
        <v/>
      </c>
      <c r="O46" s="1550">
        <f>SUM(O42:O45)</f>
        <v/>
      </c>
      <c r="P46" s="1507">
        <f>SUM(C46:O46)</f>
        <v/>
      </c>
      <c r="Q46" s="1550">
        <f>SUM(Q42:Q45)</f>
        <v/>
      </c>
      <c r="R46" s="1550">
        <f>SUM(R42:R45)</f>
        <v/>
      </c>
      <c r="S46" s="1550">
        <f>SUM(S42:S45)</f>
        <v/>
      </c>
      <c r="T46" s="1550">
        <f>SUM(T42:T45)</f>
        <v/>
      </c>
      <c r="U46" s="1550">
        <f>SUM(U42:U45)</f>
        <v/>
      </c>
      <c r="V46" s="1550">
        <f>SUM(V42:V45)</f>
        <v/>
      </c>
      <c r="W46" s="1550">
        <f>SUM(W42:W45)</f>
        <v/>
      </c>
      <c r="X46" s="1550">
        <f>SUM(X42:X45)</f>
        <v/>
      </c>
      <c r="Y46" s="1550">
        <f>SUM(Y42:Y45)</f>
        <v/>
      </c>
      <c r="Z46" s="1550">
        <f>SUM(Z42:Z45)</f>
        <v/>
      </c>
      <c r="AA46" s="1550">
        <f>SUM(AA42:AA45)</f>
        <v/>
      </c>
      <c r="AB46" s="1550">
        <f>SUM(AB42:AB45)</f>
        <v/>
      </c>
      <c r="AC46" s="1507">
        <f>SUM(Q46:AB46)</f>
        <v/>
      </c>
      <c r="AD46" s="1550">
        <f>SUM(AD42:AD45)</f>
        <v/>
      </c>
      <c r="AE46" s="1550">
        <f>SUM(AE42:AE45)</f>
        <v/>
      </c>
      <c r="AF46" s="1550">
        <f>SUM(AF42:AF45)</f>
        <v/>
      </c>
      <c r="AG46" s="1550">
        <f>SUM(AG42:AG45)</f>
        <v/>
      </c>
      <c r="AH46" s="1550">
        <f>SUM(AH42:AH45)</f>
        <v/>
      </c>
      <c r="AI46" s="1550">
        <f>SUM(AI42:AI45)</f>
        <v/>
      </c>
      <c r="AJ46" s="1550">
        <f>SUM(AJ42:AJ45)</f>
        <v/>
      </c>
      <c r="AK46" s="1550">
        <f>SUM(AK42:AK45)</f>
        <v/>
      </c>
      <c r="AL46" s="1550">
        <f>SUM(AL42:AL45)</f>
        <v/>
      </c>
      <c r="AM46" s="1550">
        <f>SUM(AM42:AM45)</f>
        <v/>
      </c>
      <c r="AN46" s="1550">
        <f>SUM(AN42:AN45)</f>
        <v/>
      </c>
      <c r="AO46" s="1550">
        <f>SUM(AO42:AO45)</f>
        <v/>
      </c>
      <c r="AP46" s="1507">
        <f>SUM(AD46:AO46)</f>
        <v/>
      </c>
      <c r="AQ46" s="1550">
        <f>SUM(AQ42:AQ45)</f>
        <v/>
      </c>
      <c r="AR46" s="1550">
        <f>SUM(AR42:AR45)</f>
        <v/>
      </c>
      <c r="AS46" s="1550">
        <f>SUM(AS42:AS45)</f>
        <v/>
      </c>
      <c r="AT46" s="1550">
        <f>SUM(AT42:AT45)</f>
        <v/>
      </c>
      <c r="AU46" s="1550">
        <f>SUM(AU42:AU45)</f>
        <v/>
      </c>
      <c r="AV46" s="1550">
        <f>SUM(AV42:AV45)</f>
        <v/>
      </c>
      <c r="AW46" s="1550">
        <f>SUM(AW42:AW45)</f>
        <v/>
      </c>
      <c r="AX46" s="1550">
        <f>SUM(AX42:AX45)</f>
        <v/>
      </c>
      <c r="AY46" s="1550">
        <f>SUM(AY42:AY45)</f>
        <v/>
      </c>
      <c r="AZ46" s="1550">
        <f>SUM(AZ42:AZ45)</f>
        <v/>
      </c>
      <c r="BA46" s="1550">
        <f>SUM(BA42:BA45)</f>
        <v/>
      </c>
      <c r="BB46" s="1550">
        <f>SUM(BB42:BB45)</f>
        <v/>
      </c>
      <c r="BC46" s="1507">
        <f>SUM(AQ46:BB46)</f>
        <v/>
      </c>
      <c r="BD46" s="1550">
        <f>SUM(BD42:BD45)</f>
        <v/>
      </c>
      <c r="BE46" s="1550">
        <f>SUM(BE42:BE45)</f>
        <v/>
      </c>
      <c r="BF46" s="1550">
        <f>SUM(BF42:BF45)</f>
        <v/>
      </c>
      <c r="BG46" s="1550">
        <f>SUM(BG42:BG45)</f>
        <v/>
      </c>
      <c r="BH46" s="1550">
        <f>SUM(BH42:BH45)</f>
        <v/>
      </c>
      <c r="BI46" s="1550">
        <f>SUM(BI42:BI45)</f>
        <v/>
      </c>
      <c r="BJ46" s="1550">
        <f>SUM(BJ42:BJ45)</f>
        <v/>
      </c>
      <c r="BK46" s="1550">
        <f>SUM(BK42:BK45)</f>
        <v/>
      </c>
      <c r="BL46" s="1550">
        <f>SUM(BL42:BL45)</f>
        <v/>
      </c>
      <c r="BM46" s="1550">
        <f>SUM(BM42:BM45)</f>
        <v/>
      </c>
      <c r="BN46" s="1550">
        <f>SUM(BN42:BN45)</f>
        <v/>
      </c>
      <c r="BO46" s="1550">
        <f>SUM(BO42:BO45)</f>
        <v/>
      </c>
      <c r="BP46" s="1507">
        <f>SUM(BD46:BO46)</f>
        <v/>
      </c>
      <c r="BQ46" s="1550">
        <f>SUM(BQ42:BQ45)</f>
        <v/>
      </c>
      <c r="BR46" s="1550">
        <f>SUM(BR42:BR45)</f>
        <v/>
      </c>
      <c r="BS46" s="1550">
        <f>SUM(BS42:BS45)</f>
        <v/>
      </c>
      <c r="BT46" s="1550">
        <f>SUM(BT42:BT45)</f>
        <v/>
      </c>
      <c r="BU46" s="1550">
        <f>SUM(BU42:BU45)</f>
        <v/>
      </c>
      <c r="BV46" s="1550">
        <f>SUM(BV42:BV45)</f>
        <v/>
      </c>
      <c r="BW46" s="1550">
        <f>SUM(BW42:BW45)</f>
        <v/>
      </c>
      <c r="BX46" s="1550">
        <f>SUM(BX42:BX45)</f>
        <v/>
      </c>
      <c r="BY46" s="1550">
        <f>SUM(BY42:BY45)</f>
        <v/>
      </c>
      <c r="BZ46" s="1550">
        <f>SUM(BZ42:BZ45)</f>
        <v/>
      </c>
      <c r="CA46" s="1550">
        <f>SUM(CA42:CA45)</f>
        <v/>
      </c>
      <c r="CB46" s="1550">
        <f>SUM(CB42:CB45)</f>
        <v/>
      </c>
      <c r="CC46" s="1507">
        <f>SUM(BQ46:CB46)</f>
        <v/>
      </c>
      <c r="CD46" s="1550">
        <f>SUM(CD42:CD45)</f>
        <v/>
      </c>
      <c r="CE46" s="1550">
        <f>SUM(CE42:CE45)</f>
        <v/>
      </c>
      <c r="CF46" s="1550">
        <f>SUM(CF42:CF45)</f>
        <v/>
      </c>
      <c r="CG46" s="1550">
        <f>SUM(CG42:CG45)</f>
        <v/>
      </c>
      <c r="CH46" s="1550">
        <f>SUM(CH42:CH45)</f>
        <v/>
      </c>
      <c r="CI46" s="1550">
        <f>SUM(CI42:CI45)</f>
        <v/>
      </c>
      <c r="CJ46" s="1550">
        <f>SUM(CJ42:CJ45)</f>
        <v/>
      </c>
      <c r="CK46" s="1550">
        <f>SUM(CK42:CK45)</f>
        <v/>
      </c>
      <c r="CL46" s="1550">
        <f>SUM(CL42:CL45)</f>
        <v/>
      </c>
      <c r="CM46" s="1550">
        <f>SUM(CM42:CM45)</f>
        <v/>
      </c>
      <c r="CN46" s="1550">
        <f>SUM(CN42:CN45)</f>
        <v/>
      </c>
      <c r="CO46" s="1550">
        <f>SUM(CO42:CO45)</f>
        <v/>
      </c>
      <c r="CP46" s="1507">
        <f>SUM(CD46:CO46)</f>
        <v/>
      </c>
      <c r="CQ46" s="1550">
        <f>SUM(CQ42:CQ45)</f>
        <v/>
      </c>
      <c r="CR46" s="1550">
        <f>SUM(CR42:CR45)</f>
        <v/>
      </c>
      <c r="CS46" s="1550">
        <f>SUM(CS42:CS45)</f>
        <v/>
      </c>
      <c r="CT46" s="1550">
        <f>SUM(CT42:CT45)</f>
        <v/>
      </c>
      <c r="CU46" s="1550">
        <f>SUM(CU42:CU45)</f>
        <v/>
      </c>
      <c r="CV46" s="1550">
        <f>SUM(CV42:CV45)</f>
        <v/>
      </c>
      <c r="CW46" s="1550">
        <f>SUM(CW42:CW45)</f>
        <v/>
      </c>
      <c r="CX46" s="1550">
        <f>SUM(CX42:CX45)</f>
        <v/>
      </c>
      <c r="CY46" s="1550">
        <f>SUM(CY42:CY45)</f>
        <v/>
      </c>
      <c r="CZ46" s="1550">
        <f>SUM(CZ42:CZ45)</f>
        <v/>
      </c>
      <c r="DA46" s="1550">
        <f>SUM(DA42:DA45)</f>
        <v/>
      </c>
      <c r="DB46" s="1550">
        <f>SUM(DB42:DB45)</f>
        <v/>
      </c>
      <c r="DC46" s="1507">
        <f>SUM(CQ46:DB46)</f>
        <v/>
      </c>
      <c r="DD46" s="1550">
        <f>SUM(DD42:DD45)</f>
        <v/>
      </c>
      <c r="DE46" s="1550">
        <f>SUM(DE42:DE45)</f>
        <v/>
      </c>
      <c r="DF46" s="1550">
        <f>SUM(DF42:DF45)</f>
        <v/>
      </c>
      <c r="DG46" s="1550">
        <f>SUM(DG42:DG45)</f>
        <v/>
      </c>
      <c r="DH46" s="1550">
        <f>SUM(DH42:DH45)</f>
        <v/>
      </c>
      <c r="DI46" s="1550">
        <f>SUM(DI42:DI45)</f>
        <v/>
      </c>
      <c r="DJ46" s="1550">
        <f>SUM(DJ42:DJ45)</f>
        <v/>
      </c>
      <c r="DK46" s="1550">
        <f>SUM(DK42:DK45)</f>
        <v/>
      </c>
      <c r="DL46" s="1550">
        <f>SUM(DL42:DL45)</f>
        <v/>
      </c>
      <c r="DM46" s="1550">
        <f>SUM(DM42:DM45)</f>
        <v/>
      </c>
      <c r="DN46" s="1550">
        <f>SUM(DN42:DN45)</f>
        <v/>
      </c>
      <c r="DO46" s="1550">
        <f>SUM(DO42:DO45)</f>
        <v/>
      </c>
      <c r="DP46" s="1507">
        <f>SUM(DD46:DO46)</f>
        <v/>
      </c>
    </row>
    <row r="47">
      <c r="A47" s="714" t="n"/>
      <c r="C47" s="1508" t="n"/>
      <c r="D47" s="1508" t="n"/>
      <c r="E47" s="1508" t="n"/>
      <c r="F47" s="1508" t="n"/>
      <c r="G47" s="1508" t="n"/>
      <c r="H47" s="1508" t="n"/>
      <c r="I47" s="1508" t="n"/>
      <c r="J47" s="1508" t="n"/>
      <c r="K47" s="1508" t="n"/>
      <c r="L47" s="1508" t="n"/>
      <c r="M47" s="1508" t="n"/>
      <c r="N47" s="1508" t="n"/>
      <c r="O47" s="1508" t="n"/>
      <c r="P47" s="1508" t="n"/>
      <c r="Q47" s="1508" t="n"/>
      <c r="R47" s="1508" t="n"/>
      <c r="S47" s="1508" t="n"/>
      <c r="T47" s="1508" t="n"/>
      <c r="U47" s="1508" t="n"/>
      <c r="V47" s="1508" t="n"/>
      <c r="W47" s="1508" t="n"/>
      <c r="X47" s="1508" t="n"/>
      <c r="Y47" s="1508" t="n"/>
      <c r="Z47" s="1508" t="n"/>
      <c r="AA47" s="1508" t="n"/>
      <c r="AB47" s="1508" t="n"/>
      <c r="AC47" s="1508" t="n"/>
      <c r="AD47" s="1508" t="n"/>
      <c r="AE47" s="1508" t="n"/>
      <c r="AF47" s="1508" t="n"/>
      <c r="AG47" s="1508" t="n"/>
      <c r="AH47" s="1508" t="n"/>
      <c r="AI47" s="1508" t="n"/>
      <c r="AJ47" s="1508" t="n"/>
      <c r="AK47" s="1508" t="n"/>
      <c r="AL47" s="1508" t="n"/>
      <c r="AM47" s="1508" t="n"/>
      <c r="AN47" s="1508" t="n"/>
      <c r="AO47" s="1508" t="n"/>
      <c r="AP47" s="1508" t="n"/>
      <c r="AQ47" s="1508" t="n"/>
      <c r="AR47" s="1508" t="n"/>
      <c r="AS47" s="1508" t="n"/>
      <c r="AT47" s="1508" t="n"/>
      <c r="AU47" s="1508" t="n"/>
      <c r="AV47" s="1508" t="n"/>
      <c r="AW47" s="1508" t="n"/>
      <c r="AX47" s="1508" t="n"/>
      <c r="AY47" s="1508" t="n"/>
      <c r="AZ47" s="1508" t="n"/>
      <c r="BA47" s="1508" t="n"/>
      <c r="BB47" s="1508" t="n"/>
      <c r="BC47" s="1508" t="n"/>
      <c r="BD47" s="1508" t="n"/>
      <c r="BE47" s="1508" t="n"/>
      <c r="BF47" s="1508" t="n"/>
      <c r="BG47" s="1508" t="n"/>
      <c r="BH47" s="1508" t="n"/>
      <c r="BI47" s="1508" t="n"/>
      <c r="BJ47" s="1508" t="n"/>
      <c r="BK47" s="1508" t="n"/>
      <c r="BL47" s="1508" t="n"/>
      <c r="BM47" s="1508" t="n"/>
      <c r="BN47" s="1508" t="n"/>
      <c r="BO47" s="1508" t="n"/>
      <c r="BP47" s="1508" t="n"/>
      <c r="BQ47" s="1508" t="n"/>
      <c r="BR47" s="1508" t="n"/>
      <c r="BS47" s="1508" t="n"/>
      <c r="BT47" s="1508" t="n"/>
      <c r="BU47" s="1508" t="n"/>
      <c r="BV47" s="1508" t="n"/>
      <c r="BW47" s="1508" t="n"/>
      <c r="BX47" s="1508" t="n"/>
      <c r="BY47" s="1508" t="n"/>
      <c r="BZ47" s="1508" t="n"/>
      <c r="CA47" s="1508" t="n"/>
      <c r="CB47" s="1508" t="n"/>
      <c r="CC47" s="1508" t="n"/>
      <c r="CD47" s="1508" t="n"/>
      <c r="CE47" s="1508" t="n"/>
      <c r="CF47" s="1508" t="n"/>
      <c r="CG47" s="1508" t="n"/>
      <c r="CH47" s="1508" t="n"/>
      <c r="CI47" s="1508" t="n"/>
      <c r="CJ47" s="1508" t="n"/>
      <c r="CK47" s="1508" t="n"/>
      <c r="CL47" s="1508" t="n"/>
      <c r="CM47" s="1508" t="n"/>
      <c r="CN47" s="1508" t="n"/>
      <c r="CO47" s="1508" t="n"/>
      <c r="CP47" s="1508" t="n"/>
      <c r="CQ47" s="1508" t="n"/>
      <c r="CR47" s="1508" t="n"/>
      <c r="CS47" s="1508" t="n"/>
      <c r="CT47" s="1508" t="n"/>
      <c r="CU47" s="1508" t="n"/>
      <c r="CV47" s="1508" t="n"/>
      <c r="CW47" s="1508" t="n"/>
      <c r="CX47" s="1508" t="n"/>
      <c r="CY47" s="1508" t="n"/>
      <c r="CZ47" s="1508" t="n"/>
      <c r="DA47" s="1508" t="n"/>
      <c r="DB47" s="1508" t="n"/>
      <c r="DC47" s="1508" t="n"/>
      <c r="DD47" s="1508" t="n"/>
      <c r="DE47" s="1508" t="n"/>
      <c r="DF47" s="1508" t="n"/>
      <c r="DG47" s="1508" t="n"/>
      <c r="DH47" s="1508" t="n"/>
      <c r="DI47" s="1508" t="n"/>
      <c r="DJ47" s="1508" t="n"/>
      <c r="DK47" s="1508" t="n"/>
      <c r="DL47" s="1508" t="n"/>
      <c r="DM47" s="1508" t="n"/>
      <c r="DN47" s="1508" t="n"/>
      <c r="DO47" s="1508" t="n"/>
      <c r="DP47" s="1508" t="n"/>
    </row>
    <row r="48" ht="15.75" customHeight="1" thickBot="1">
      <c r="A48" s="714" t="n"/>
      <c r="B48" s="712" t="n"/>
      <c r="C48" s="1553" t="n"/>
      <c r="D48" s="1553" t="n"/>
      <c r="E48" s="1553" t="n"/>
      <c r="F48" s="1553" t="n"/>
      <c r="G48" s="1553" t="n"/>
      <c r="H48" s="1553" t="n"/>
      <c r="I48" s="1553" t="n"/>
      <c r="J48" s="1553" t="n"/>
      <c r="K48" s="1553" t="n"/>
      <c r="L48" s="1553" t="n"/>
      <c r="M48" s="1553" t="n"/>
      <c r="N48" s="1553" t="n"/>
      <c r="O48" s="1553" t="n"/>
      <c r="P48" s="1553" t="n"/>
      <c r="Q48" s="1553" t="n"/>
      <c r="R48" s="1553" t="n"/>
      <c r="S48" s="1553" t="n"/>
      <c r="T48" s="1553" t="n"/>
      <c r="U48" s="1553" t="n"/>
      <c r="V48" s="1553" t="n"/>
      <c r="W48" s="1553" t="n"/>
      <c r="X48" s="1553" t="n"/>
      <c r="Y48" s="1553" t="n"/>
      <c r="Z48" s="1553" t="n"/>
      <c r="AA48" s="1553" t="n"/>
      <c r="AB48" s="1553" t="n"/>
      <c r="AC48" s="1553" t="n"/>
      <c r="AD48" s="1553" t="n"/>
      <c r="AE48" s="1553" t="n"/>
      <c r="AF48" s="1553" t="n"/>
      <c r="AG48" s="1553" t="n"/>
      <c r="AH48" s="1553" t="n"/>
      <c r="AI48" s="1553" t="n"/>
      <c r="AJ48" s="1553" t="n"/>
      <c r="AK48" s="1553" t="n"/>
      <c r="AL48" s="1553" t="n"/>
      <c r="AM48" s="1553" t="n"/>
      <c r="AN48" s="1553" t="n"/>
      <c r="AO48" s="1553" t="n"/>
      <c r="AP48" s="1553" t="n"/>
      <c r="AQ48" s="1553" t="n"/>
      <c r="AR48" s="1553" t="n"/>
      <c r="AS48" s="1553" t="n"/>
      <c r="AT48" s="1553" t="n"/>
      <c r="AU48" s="1553" t="n"/>
      <c r="AV48" s="1553" t="n"/>
      <c r="AW48" s="1553" t="n"/>
      <c r="AX48" s="1553" t="n"/>
      <c r="AY48" s="1553" t="n"/>
      <c r="AZ48" s="1553" t="n"/>
      <c r="BA48" s="1553" t="n"/>
      <c r="BB48" s="1553" t="n"/>
      <c r="BC48" s="1553" t="n"/>
      <c r="BD48" s="1553" t="n"/>
      <c r="BE48" s="1553" t="n"/>
      <c r="BF48" s="1553" t="n"/>
      <c r="BG48" s="1553" t="n"/>
      <c r="BH48" s="1553" t="n"/>
      <c r="BI48" s="1553" t="n"/>
      <c r="BJ48" s="1553" t="n"/>
      <c r="BK48" s="1553" t="n"/>
      <c r="BL48" s="1553" t="n"/>
      <c r="BM48" s="1553" t="n"/>
      <c r="BN48" s="1553" t="n"/>
      <c r="BO48" s="1553" t="n"/>
      <c r="BP48" s="1553" t="n"/>
      <c r="BQ48" s="1553" t="n"/>
      <c r="BR48" s="1553" t="n"/>
      <c r="BS48" s="1553" t="n"/>
      <c r="BT48" s="1553" t="n"/>
      <c r="BU48" s="1553" t="n"/>
      <c r="BV48" s="1553" t="n"/>
      <c r="BW48" s="1553" t="n"/>
      <c r="BX48" s="1553" t="n"/>
      <c r="BY48" s="1553" t="n"/>
      <c r="BZ48" s="1553" t="n"/>
      <c r="CA48" s="1553" t="n"/>
      <c r="CB48" s="1553" t="n"/>
      <c r="CC48" s="1553" t="n"/>
      <c r="CD48" s="1553" t="n"/>
      <c r="CE48" s="1553" t="n"/>
      <c r="CF48" s="1553" t="n"/>
      <c r="CG48" s="1553" t="n"/>
      <c r="CH48" s="1553" t="n"/>
      <c r="CI48" s="1553" t="n"/>
      <c r="CJ48" s="1553" t="n"/>
      <c r="CK48" s="1553" t="n"/>
      <c r="CL48" s="1553" t="n"/>
      <c r="CM48" s="1553" t="n"/>
      <c r="CN48" s="1553" t="n"/>
      <c r="CO48" s="1553" t="n"/>
      <c r="CP48" s="1553" t="n"/>
      <c r="CQ48" s="1553" t="n"/>
      <c r="CR48" s="1553" t="n"/>
      <c r="CS48" s="1553" t="n"/>
      <c r="CT48" s="1553" t="n"/>
      <c r="CU48" s="1553" t="n"/>
      <c r="CV48" s="1553" t="n"/>
      <c r="CW48" s="1553" t="n"/>
      <c r="CX48" s="1553" t="n"/>
      <c r="CY48" s="1553" t="n"/>
      <c r="CZ48" s="1553" t="n"/>
      <c r="DA48" s="1553" t="n"/>
      <c r="DB48" s="1553" t="n"/>
      <c r="DC48" s="1553" t="n"/>
      <c r="DD48" s="1553" t="n"/>
      <c r="DE48" s="1553" t="n"/>
      <c r="DF48" s="1553" t="n"/>
      <c r="DG48" s="1553" t="n"/>
      <c r="DH48" s="1553" t="n"/>
      <c r="DI48" s="1553" t="n"/>
      <c r="DJ48" s="1553" t="n"/>
      <c r="DK48" s="1553" t="n"/>
      <c r="DL48" s="1553" t="n"/>
      <c r="DM48" s="1553" t="n"/>
      <c r="DN48" s="1553" t="n"/>
      <c r="DO48" s="1553" t="n"/>
      <c r="DP48" s="1553" t="n"/>
    </row>
    <row r="49" ht="15.75" customHeight="1" thickTop="1">
      <c r="A49" s="735" t="n"/>
      <c r="B49" s="715" t="n"/>
      <c r="C49" s="1505" t="n"/>
      <c r="D49" s="1505" t="n"/>
      <c r="E49" s="1505" t="n"/>
      <c r="F49" s="1505" t="n"/>
      <c r="G49" s="1505" t="n"/>
      <c r="H49" s="1505" t="n"/>
      <c r="I49" s="1505" t="n"/>
      <c r="J49" s="1505" t="n"/>
      <c r="K49" s="1505" t="n"/>
      <c r="L49" s="1505" t="n"/>
      <c r="M49" s="1505" t="n"/>
      <c r="N49" s="1505" t="n"/>
      <c r="O49" s="1505" t="n"/>
      <c r="P49" s="1507">
        <f>SUM(C49:O49)</f>
        <v/>
      </c>
      <c r="Q49" s="1505" t="n"/>
      <c r="R49" s="1505" t="n"/>
      <c r="S49" s="1505" t="n"/>
      <c r="T49" s="1505" t="n"/>
      <c r="U49" s="1505" t="n"/>
      <c r="V49" s="1505" t="n"/>
      <c r="W49" s="1505" t="n"/>
      <c r="X49" s="1505" t="n"/>
      <c r="Y49" s="1505" t="n"/>
      <c r="Z49" s="1505" t="n"/>
      <c r="AA49" s="1505" t="n"/>
      <c r="AB49" s="1505" t="n"/>
      <c r="AC49" s="1507">
        <f>SUM(Q49:AB49)</f>
        <v/>
      </c>
      <c r="AD49" s="1505" t="n"/>
      <c r="AE49" s="1505" t="n"/>
      <c r="AF49" s="1505" t="n"/>
      <c r="AG49" s="1505" t="n"/>
      <c r="AH49" s="1505" t="n"/>
      <c r="AI49" s="1505" t="n"/>
      <c r="AJ49" s="1505" t="n"/>
      <c r="AK49" s="1505" t="n"/>
      <c r="AL49" s="1505" t="n"/>
      <c r="AM49" s="1505" t="n"/>
      <c r="AN49" s="1505" t="n"/>
      <c r="AO49" s="1505" t="n"/>
      <c r="AP49" s="1507">
        <f>SUM(AD49:AO49)</f>
        <v/>
      </c>
      <c r="AQ49" s="1505" t="n"/>
      <c r="AR49" s="1505" t="n"/>
      <c r="AS49" s="1505" t="n"/>
      <c r="AT49" s="1505" t="n"/>
      <c r="AU49" s="1505" t="n"/>
      <c r="AV49" s="1505" t="n"/>
      <c r="AW49" s="1505" t="n"/>
      <c r="AX49" s="1505" t="n"/>
      <c r="AY49" s="1505" t="n"/>
      <c r="AZ49" s="1505" t="n"/>
      <c r="BA49" s="1505" t="n"/>
      <c r="BB49" s="1505" t="n"/>
      <c r="BC49" s="1507">
        <f>SUM(AQ49:BB49)</f>
        <v/>
      </c>
      <c r="BD49" s="1505" t="n"/>
      <c r="BE49" s="1505" t="n"/>
      <c r="BF49" s="1505" t="n"/>
      <c r="BG49" s="1505" t="n"/>
      <c r="BH49" s="1505" t="n"/>
      <c r="BI49" s="1505" t="n"/>
      <c r="BJ49" s="1505" t="n"/>
      <c r="BK49" s="1505" t="n"/>
      <c r="BL49" s="1505" t="n"/>
      <c r="BM49" s="1505" t="n"/>
      <c r="BN49" s="1505" t="n"/>
      <c r="BO49" s="1505" t="n"/>
      <c r="BP49" s="1507">
        <f>SUM(BD49:BO49)</f>
        <v/>
      </c>
      <c r="BQ49" s="1505" t="n"/>
      <c r="BR49" s="1505" t="n"/>
      <c r="BS49" s="1505" t="n"/>
      <c r="BT49" s="1505" t="n"/>
      <c r="BU49" s="1505" t="n"/>
      <c r="BV49" s="1505" t="n"/>
      <c r="BW49" s="1505" t="n"/>
      <c r="BX49" s="1505" t="n"/>
      <c r="BY49" s="1505" t="n"/>
      <c r="BZ49" s="1505" t="n"/>
      <c r="CA49" s="1505" t="n"/>
      <c r="CB49" s="1505" t="n"/>
      <c r="CC49" s="1507">
        <f>SUM(BQ49:CB49)</f>
        <v/>
      </c>
      <c r="CD49" s="1505" t="n"/>
      <c r="CE49" s="1505" t="n"/>
      <c r="CF49" s="1505" t="n"/>
      <c r="CG49" s="1505" t="n"/>
      <c r="CH49" s="1505" t="n"/>
      <c r="CI49" s="1505" t="n"/>
      <c r="CJ49" s="1505" t="n"/>
      <c r="CK49" s="1505" t="n"/>
      <c r="CL49" s="1505" t="n"/>
      <c r="CM49" s="1505" t="n"/>
      <c r="CN49" s="1505" t="n"/>
      <c r="CO49" s="1505" t="n"/>
      <c r="CP49" s="1507">
        <f>SUM(CD49:CO49)</f>
        <v/>
      </c>
      <c r="CQ49" s="1505" t="n"/>
      <c r="CR49" s="1505" t="n"/>
      <c r="CS49" s="1505" t="n"/>
      <c r="CT49" s="1505" t="n"/>
      <c r="CU49" s="1505" t="n"/>
      <c r="CV49" s="1505" t="n"/>
      <c r="CW49" s="1505" t="n"/>
      <c r="CX49" s="1505" t="n"/>
      <c r="CY49" s="1505" t="n"/>
      <c r="CZ49" s="1505" t="n"/>
      <c r="DA49" s="1505" t="n"/>
      <c r="DB49" s="1505" t="n"/>
      <c r="DC49" s="1507">
        <f>SUM(CQ49:DB49)</f>
        <v/>
      </c>
      <c r="DD49" s="1505" t="n"/>
      <c r="DE49" s="1505" t="n"/>
      <c r="DF49" s="1505" t="n"/>
      <c r="DG49" s="1505" t="n"/>
      <c r="DH49" s="1505" t="n"/>
      <c r="DI49" s="1505" t="n"/>
      <c r="DJ49" s="1505" t="n"/>
      <c r="DK49" s="1505" t="n"/>
      <c r="DL49" s="1505" t="n"/>
      <c r="DM49" s="1505" t="n"/>
      <c r="DN49" s="1505" t="n"/>
      <c r="DO49" s="1505" t="n"/>
      <c r="DP49" s="1507">
        <f>SUM(DD49:DO49)</f>
        <v/>
      </c>
    </row>
    <row r="50">
      <c r="B50" s="719" t="n"/>
      <c r="C50" s="1505" t="n"/>
      <c r="D50" s="1505" t="n"/>
      <c r="E50" s="1505" t="n"/>
      <c r="F50" s="1505" t="n"/>
      <c r="G50" s="1505" t="n"/>
      <c r="H50" s="1505" t="n"/>
      <c r="I50" s="1505" t="n"/>
      <c r="J50" s="1505" t="n"/>
      <c r="K50" s="1505" t="n"/>
      <c r="L50" s="1505" t="n"/>
      <c r="M50" s="1505" t="n"/>
      <c r="N50" s="1505" t="n"/>
      <c r="O50" s="1505" t="n"/>
      <c r="P50" s="1507">
        <f>SUM(C50:O50)</f>
        <v/>
      </c>
      <c r="Q50" s="1505" t="n"/>
      <c r="R50" s="1505" t="n"/>
      <c r="S50" s="1505" t="n"/>
      <c r="T50" s="1505" t="n"/>
      <c r="U50" s="1505" t="n"/>
      <c r="V50" s="1505" t="n"/>
      <c r="W50" s="1505" t="n"/>
      <c r="X50" s="1505" t="n"/>
      <c r="Y50" s="1505" t="n"/>
      <c r="Z50" s="1505" t="n"/>
      <c r="AA50" s="1505" t="n"/>
      <c r="AB50" s="1505" t="n"/>
      <c r="AC50" s="1507">
        <f>SUM(Q50:AB50)</f>
        <v/>
      </c>
      <c r="AD50" s="1505" t="n"/>
      <c r="AE50" s="1505" t="n"/>
      <c r="AF50" s="1505" t="n"/>
      <c r="AG50" s="1505" t="n"/>
      <c r="AH50" s="1505" t="n"/>
      <c r="AI50" s="1505" t="n"/>
      <c r="AJ50" s="1505" t="n"/>
      <c r="AK50" s="1505" t="n"/>
      <c r="AL50" s="1505" t="n"/>
      <c r="AM50" s="1505" t="n"/>
      <c r="AN50" s="1505" t="n"/>
      <c r="AO50" s="1505" t="n"/>
      <c r="AP50" s="1507">
        <f>SUM(AD50:AO50)</f>
        <v/>
      </c>
      <c r="AQ50" s="1505" t="n"/>
      <c r="AR50" s="1505" t="n"/>
      <c r="AS50" s="1505" t="n"/>
      <c r="AT50" s="1505" t="n"/>
      <c r="AU50" s="1505" t="n"/>
      <c r="AV50" s="1505" t="n"/>
      <c r="AW50" s="1505" t="n"/>
      <c r="AX50" s="1505" t="n"/>
      <c r="AY50" s="1505" t="n"/>
      <c r="AZ50" s="1505" t="n"/>
      <c r="BA50" s="1505" t="n"/>
      <c r="BB50" s="1505" t="n"/>
      <c r="BC50" s="1507">
        <f>SUM(AQ50:BB50)</f>
        <v/>
      </c>
      <c r="BD50" s="1505" t="n"/>
      <c r="BE50" s="1505" t="n"/>
      <c r="BF50" s="1505" t="n"/>
      <c r="BG50" s="1505" t="n"/>
      <c r="BH50" s="1505" t="n"/>
      <c r="BI50" s="1505" t="n"/>
      <c r="BJ50" s="1505" t="n"/>
      <c r="BK50" s="1505" t="n"/>
      <c r="BL50" s="1505" t="n"/>
      <c r="BM50" s="1505" t="n"/>
      <c r="BN50" s="1505" t="n"/>
      <c r="BO50" s="1505" t="n"/>
      <c r="BP50" s="1507">
        <f>SUM(BD50:BO50)</f>
        <v/>
      </c>
      <c r="BQ50" s="1505" t="n"/>
      <c r="BR50" s="1505" t="n"/>
      <c r="BS50" s="1505" t="n"/>
      <c r="BT50" s="1505" t="n"/>
      <c r="BU50" s="1505" t="n"/>
      <c r="BV50" s="1505" t="n"/>
      <c r="BW50" s="1505" t="n"/>
      <c r="BX50" s="1505" t="n"/>
      <c r="BY50" s="1505" t="n"/>
      <c r="BZ50" s="1505" t="n"/>
      <c r="CA50" s="1505" t="n"/>
      <c r="CB50" s="1505" t="n"/>
      <c r="CC50" s="1507">
        <f>SUM(BQ50:CB50)</f>
        <v/>
      </c>
      <c r="CD50" s="1505" t="n"/>
      <c r="CE50" s="1505" t="n"/>
      <c r="CF50" s="1505" t="n"/>
      <c r="CG50" s="1505" t="n"/>
      <c r="CH50" s="1505" t="n"/>
      <c r="CI50" s="1505" t="n"/>
      <c r="CJ50" s="1505" t="n"/>
      <c r="CK50" s="1505" t="n"/>
      <c r="CL50" s="1505" t="n"/>
      <c r="CM50" s="1505" t="n"/>
      <c r="CN50" s="1505" t="n"/>
      <c r="CO50" s="1505" t="n"/>
      <c r="CP50" s="1507">
        <f>SUM(CD50:CO50)</f>
        <v/>
      </c>
      <c r="CQ50" s="1505" t="n"/>
      <c r="CR50" s="1505" t="n"/>
      <c r="CS50" s="1505" t="n"/>
      <c r="CT50" s="1505" t="n"/>
      <c r="CU50" s="1505" t="n"/>
      <c r="CV50" s="1505" t="n"/>
      <c r="CW50" s="1505" t="n"/>
      <c r="CX50" s="1505" t="n"/>
      <c r="CY50" s="1505" t="n"/>
      <c r="CZ50" s="1505" t="n"/>
      <c r="DA50" s="1505" t="n"/>
      <c r="DB50" s="1505" t="n"/>
      <c r="DC50" s="1507">
        <f>SUM(CQ50:DB50)</f>
        <v/>
      </c>
      <c r="DD50" s="1505" t="n"/>
      <c r="DE50" s="1505" t="n"/>
      <c r="DF50" s="1505" t="n"/>
      <c r="DG50" s="1505" t="n"/>
      <c r="DH50" s="1505" t="n"/>
      <c r="DI50" s="1505" t="n"/>
      <c r="DJ50" s="1505" t="n"/>
      <c r="DK50" s="1505" t="n"/>
      <c r="DL50" s="1505" t="n"/>
      <c r="DM50" s="1505" t="n"/>
      <c r="DN50" s="1505" t="n"/>
      <c r="DO50" s="1505" t="n"/>
      <c r="DP50" s="1507">
        <f>SUM(DD50:DO50)</f>
        <v/>
      </c>
    </row>
    <row r="51">
      <c r="B51" s="719" t="n"/>
      <c r="C51" s="1505" t="n"/>
      <c r="D51" s="1505" t="n"/>
      <c r="E51" s="1505" t="n"/>
      <c r="F51" s="1505" t="n"/>
      <c r="G51" s="1505" t="n"/>
      <c r="H51" s="1505" t="n"/>
      <c r="I51" s="1505" t="n"/>
      <c r="J51" s="1505" t="n"/>
      <c r="K51" s="1505" t="n"/>
      <c r="L51" s="1505" t="n"/>
      <c r="M51" s="1505" t="n"/>
      <c r="N51" s="1505" t="n"/>
      <c r="O51" s="1505" t="n"/>
      <c r="P51" s="1507">
        <f>SUM(C51:O51)</f>
        <v/>
      </c>
      <c r="Q51" s="1505" t="n"/>
      <c r="R51" s="1505" t="n"/>
      <c r="S51" s="1505" t="n"/>
      <c r="T51" s="1505" t="n"/>
      <c r="U51" s="1505" t="n"/>
      <c r="V51" s="1505" t="n"/>
      <c r="W51" s="1505" t="n"/>
      <c r="X51" s="1505" t="n"/>
      <c r="Y51" s="1505" t="n"/>
      <c r="Z51" s="1505" t="n"/>
      <c r="AA51" s="1505" t="n"/>
      <c r="AB51" s="1505" t="n"/>
      <c r="AC51" s="1507">
        <f>SUM(Q51:AB51)</f>
        <v/>
      </c>
      <c r="AD51" s="1505" t="n"/>
      <c r="AE51" s="1505" t="n"/>
      <c r="AF51" s="1505" t="n"/>
      <c r="AG51" s="1505" t="n"/>
      <c r="AH51" s="1505" t="n"/>
      <c r="AI51" s="1505" t="n"/>
      <c r="AJ51" s="1505" t="n"/>
      <c r="AK51" s="1505" t="n"/>
      <c r="AL51" s="1505" t="n"/>
      <c r="AM51" s="1505" t="n"/>
      <c r="AN51" s="1505" t="n"/>
      <c r="AO51" s="1505" t="n"/>
      <c r="AP51" s="1507">
        <f>SUM(AD51:AO51)</f>
        <v/>
      </c>
      <c r="AQ51" s="1505" t="n"/>
      <c r="AR51" s="1505" t="n"/>
      <c r="AS51" s="1505" t="n"/>
      <c r="AT51" s="1505" t="n"/>
      <c r="AU51" s="1505" t="n"/>
      <c r="AV51" s="1505" t="n"/>
      <c r="AW51" s="1505" t="n"/>
      <c r="AX51" s="1505" t="n"/>
      <c r="AY51" s="1505" t="n"/>
      <c r="AZ51" s="1505" t="n"/>
      <c r="BA51" s="1505" t="n"/>
      <c r="BB51" s="1505" t="n"/>
      <c r="BC51" s="1507">
        <f>SUM(AQ51:BB51)</f>
        <v/>
      </c>
      <c r="BD51" s="1505" t="n"/>
      <c r="BE51" s="1505" t="n"/>
      <c r="BF51" s="1505" t="n"/>
      <c r="BG51" s="1505" t="n"/>
      <c r="BH51" s="1505" t="n"/>
      <c r="BI51" s="1505" t="n"/>
      <c r="BJ51" s="1505" t="n"/>
      <c r="BK51" s="1505" t="n"/>
      <c r="BL51" s="1505" t="n"/>
      <c r="BM51" s="1505" t="n"/>
      <c r="BN51" s="1505" t="n"/>
      <c r="BO51" s="1505" t="n"/>
      <c r="BP51" s="1507">
        <f>SUM(BD51:BO51)</f>
        <v/>
      </c>
      <c r="BQ51" s="1505" t="n"/>
      <c r="BR51" s="1505" t="n"/>
      <c r="BS51" s="1505" t="n"/>
      <c r="BT51" s="1505" t="n"/>
      <c r="BU51" s="1505" t="n"/>
      <c r="BV51" s="1505" t="n"/>
      <c r="BW51" s="1505" t="n"/>
      <c r="BX51" s="1505" t="n"/>
      <c r="BY51" s="1505" t="n"/>
      <c r="BZ51" s="1505" t="n"/>
      <c r="CA51" s="1505" t="n"/>
      <c r="CB51" s="1505" t="n"/>
      <c r="CC51" s="1507">
        <f>SUM(BQ51:CB51)</f>
        <v/>
      </c>
      <c r="CD51" s="1505" t="n"/>
      <c r="CE51" s="1505" t="n"/>
      <c r="CF51" s="1505" t="n"/>
      <c r="CG51" s="1505" t="n"/>
      <c r="CH51" s="1505" t="n"/>
      <c r="CI51" s="1505" t="n"/>
      <c r="CJ51" s="1505" t="n"/>
      <c r="CK51" s="1505" t="n"/>
      <c r="CL51" s="1505" t="n"/>
      <c r="CM51" s="1505" t="n"/>
      <c r="CN51" s="1505" t="n"/>
      <c r="CO51" s="1505" t="n"/>
      <c r="CP51" s="1507">
        <f>SUM(CD51:CO51)</f>
        <v/>
      </c>
      <c r="CQ51" s="1505" t="n"/>
      <c r="CR51" s="1505" t="n"/>
      <c r="CS51" s="1505" t="n"/>
      <c r="CT51" s="1505" t="n"/>
      <c r="CU51" s="1505" t="n"/>
      <c r="CV51" s="1505" t="n"/>
      <c r="CW51" s="1505" t="n"/>
      <c r="CX51" s="1505" t="n"/>
      <c r="CY51" s="1505" t="n"/>
      <c r="CZ51" s="1505" t="n"/>
      <c r="DA51" s="1505" t="n"/>
      <c r="DB51" s="1505" t="n"/>
      <c r="DC51" s="1507">
        <f>SUM(CQ51:DB51)</f>
        <v/>
      </c>
      <c r="DD51" s="1505" t="n"/>
      <c r="DE51" s="1505" t="n"/>
      <c r="DF51" s="1505" t="n"/>
      <c r="DG51" s="1505" t="n"/>
      <c r="DH51" s="1505" t="n"/>
      <c r="DI51" s="1505" t="n"/>
      <c r="DJ51" s="1505" t="n"/>
      <c r="DK51" s="1505" t="n"/>
      <c r="DL51" s="1505" t="n"/>
      <c r="DM51" s="1505" t="n"/>
      <c r="DN51" s="1505" t="n"/>
      <c r="DO51" s="1505" t="n"/>
      <c r="DP51" s="1507">
        <f>SUM(DD51:DO51)</f>
        <v/>
      </c>
    </row>
    <row r="52">
      <c r="B52" s="719" t="n"/>
      <c r="C52" s="1505" t="n"/>
      <c r="D52" s="1505" t="n"/>
      <c r="E52" s="1505" t="n"/>
      <c r="F52" s="1505" t="n"/>
      <c r="G52" s="1505" t="n"/>
      <c r="H52" s="1505" t="n"/>
      <c r="I52" s="1505" t="n"/>
      <c r="J52" s="1505" t="n"/>
      <c r="K52" s="1505" t="n"/>
      <c r="L52" s="1505" t="n"/>
      <c r="M52" s="1505" t="n"/>
      <c r="N52" s="1505" t="n"/>
      <c r="O52" s="1505" t="n"/>
      <c r="P52" s="1507">
        <f>SUM(C52:O52)</f>
        <v/>
      </c>
      <c r="Q52" s="1505" t="n"/>
      <c r="R52" s="1505" t="n"/>
      <c r="S52" s="1505" t="n"/>
      <c r="T52" s="1505" t="n"/>
      <c r="U52" s="1505" t="n"/>
      <c r="V52" s="1505" t="n"/>
      <c r="W52" s="1505" t="n"/>
      <c r="X52" s="1505" t="n"/>
      <c r="Y52" s="1505" t="n"/>
      <c r="Z52" s="1505" t="n"/>
      <c r="AA52" s="1505" t="n"/>
      <c r="AB52" s="1505" t="n"/>
      <c r="AC52" s="1507">
        <f>SUM(Q52:AB52)</f>
        <v/>
      </c>
      <c r="AD52" s="1505" t="n"/>
      <c r="AE52" s="1505" t="n"/>
      <c r="AF52" s="1505" t="n"/>
      <c r="AG52" s="1505" t="n"/>
      <c r="AH52" s="1505" t="n"/>
      <c r="AI52" s="1505" t="n"/>
      <c r="AJ52" s="1505" t="n"/>
      <c r="AK52" s="1505" t="n"/>
      <c r="AL52" s="1505" t="n"/>
      <c r="AM52" s="1505" t="n"/>
      <c r="AN52" s="1505" t="n"/>
      <c r="AO52" s="1505" t="n"/>
      <c r="AP52" s="1507">
        <f>SUM(AD52:AO52)</f>
        <v/>
      </c>
      <c r="AQ52" s="1505" t="n"/>
      <c r="AR52" s="1505" t="n"/>
      <c r="AS52" s="1505" t="n"/>
      <c r="AT52" s="1505" t="n"/>
      <c r="AU52" s="1505" t="n"/>
      <c r="AV52" s="1505" t="n"/>
      <c r="AW52" s="1505" t="n"/>
      <c r="AX52" s="1505" t="n"/>
      <c r="AY52" s="1505" t="n"/>
      <c r="AZ52" s="1505" t="n"/>
      <c r="BA52" s="1505" t="n"/>
      <c r="BB52" s="1505" t="n"/>
      <c r="BC52" s="1507">
        <f>SUM(AQ52:BB52)</f>
        <v/>
      </c>
      <c r="BD52" s="1505" t="n"/>
      <c r="BE52" s="1505" t="n"/>
      <c r="BF52" s="1505" t="n"/>
      <c r="BG52" s="1505" t="n"/>
      <c r="BH52" s="1505" t="n"/>
      <c r="BI52" s="1505" t="n"/>
      <c r="BJ52" s="1505" t="n"/>
      <c r="BK52" s="1505" t="n"/>
      <c r="BL52" s="1505" t="n"/>
      <c r="BM52" s="1505" t="n"/>
      <c r="BN52" s="1505" t="n"/>
      <c r="BO52" s="1505" t="n"/>
      <c r="BP52" s="1507">
        <f>SUM(BD52:BO52)</f>
        <v/>
      </c>
      <c r="BQ52" s="1505" t="n"/>
      <c r="BR52" s="1505" t="n"/>
      <c r="BS52" s="1505" t="n"/>
      <c r="BT52" s="1505" t="n"/>
      <c r="BU52" s="1505" t="n"/>
      <c r="BV52" s="1505" t="n"/>
      <c r="BW52" s="1505" t="n"/>
      <c r="BX52" s="1505" t="n"/>
      <c r="BY52" s="1505" t="n"/>
      <c r="BZ52" s="1505" t="n"/>
      <c r="CA52" s="1505" t="n"/>
      <c r="CB52" s="1505" t="n"/>
      <c r="CC52" s="1507">
        <f>SUM(BQ52:CB52)</f>
        <v/>
      </c>
      <c r="CD52" s="1505" t="n"/>
      <c r="CE52" s="1505" t="n"/>
      <c r="CF52" s="1505" t="n"/>
      <c r="CG52" s="1505" t="n"/>
      <c r="CH52" s="1505" t="n"/>
      <c r="CI52" s="1505" t="n"/>
      <c r="CJ52" s="1505" t="n"/>
      <c r="CK52" s="1505" t="n"/>
      <c r="CL52" s="1505" t="n"/>
      <c r="CM52" s="1505" t="n"/>
      <c r="CN52" s="1505" t="n"/>
      <c r="CO52" s="1505" t="n"/>
      <c r="CP52" s="1507">
        <f>SUM(CD52:CO52)</f>
        <v/>
      </c>
      <c r="CQ52" s="1505" t="n"/>
      <c r="CR52" s="1505" t="n"/>
      <c r="CS52" s="1505" t="n"/>
      <c r="CT52" s="1505" t="n"/>
      <c r="CU52" s="1505" t="n"/>
      <c r="CV52" s="1505" t="n"/>
      <c r="CW52" s="1505" t="n"/>
      <c r="CX52" s="1505" t="n"/>
      <c r="CY52" s="1505" t="n"/>
      <c r="CZ52" s="1505" t="n"/>
      <c r="DA52" s="1505" t="n"/>
      <c r="DB52" s="1505" t="n"/>
      <c r="DC52" s="1507">
        <f>SUM(CQ52:DB52)</f>
        <v/>
      </c>
      <c r="DD52" s="1505" t="n"/>
      <c r="DE52" s="1505" t="n"/>
      <c r="DF52" s="1505" t="n"/>
      <c r="DG52" s="1505" t="n"/>
      <c r="DH52" s="1505" t="n"/>
      <c r="DI52" s="1505" t="n"/>
      <c r="DJ52" s="1505" t="n"/>
      <c r="DK52" s="1505" t="n"/>
      <c r="DL52" s="1505" t="n"/>
      <c r="DM52" s="1505" t="n"/>
      <c r="DN52" s="1505" t="n"/>
      <c r="DO52" s="1505" t="n"/>
      <c r="DP52" s="1507">
        <f>SUM(DD52:DO52)</f>
        <v/>
      </c>
    </row>
    <row r="53">
      <c r="B53" s="719" t="n"/>
      <c r="C53" s="1505" t="n"/>
      <c r="D53" s="1505" t="n"/>
      <c r="E53" s="1505" t="n"/>
      <c r="F53" s="1505" t="n"/>
      <c r="G53" s="1505" t="n"/>
      <c r="H53" s="1505" t="n"/>
      <c r="I53" s="1505" t="n"/>
      <c r="J53" s="1505" t="n"/>
      <c r="K53" s="1505" t="n"/>
      <c r="L53" s="1505" t="n"/>
      <c r="M53" s="1505" t="n"/>
      <c r="N53" s="1505" t="n"/>
      <c r="O53" s="1505" t="n"/>
      <c r="P53" s="1507">
        <f>SUM(C53:O53)</f>
        <v/>
      </c>
      <c r="Q53" s="1505" t="n"/>
      <c r="R53" s="1505" t="n"/>
      <c r="S53" s="1505" t="n"/>
      <c r="T53" s="1505" t="n"/>
      <c r="U53" s="1505" t="n"/>
      <c r="V53" s="1505" t="n"/>
      <c r="W53" s="1505" t="n"/>
      <c r="X53" s="1505" t="n"/>
      <c r="Y53" s="1505" t="n"/>
      <c r="Z53" s="1505" t="n"/>
      <c r="AA53" s="1505" t="n"/>
      <c r="AB53" s="1505" t="n"/>
      <c r="AC53" s="1507">
        <f>SUM(Q53:AB53)</f>
        <v/>
      </c>
      <c r="AD53" s="1505" t="n"/>
      <c r="AE53" s="1505" t="n"/>
      <c r="AF53" s="1505" t="n"/>
      <c r="AG53" s="1505" t="n"/>
      <c r="AH53" s="1505" t="n"/>
      <c r="AI53" s="1505" t="n"/>
      <c r="AJ53" s="1505" t="n"/>
      <c r="AK53" s="1505" t="n"/>
      <c r="AL53" s="1505" t="n"/>
      <c r="AM53" s="1505" t="n"/>
      <c r="AN53" s="1505" t="n"/>
      <c r="AO53" s="1505" t="n"/>
      <c r="AP53" s="1507">
        <f>SUM(AD53:AO53)</f>
        <v/>
      </c>
      <c r="AQ53" s="1505" t="n"/>
      <c r="AR53" s="1505" t="n"/>
      <c r="AS53" s="1505" t="n"/>
      <c r="AT53" s="1505" t="n"/>
      <c r="AU53" s="1505" t="n"/>
      <c r="AV53" s="1505" t="n"/>
      <c r="AW53" s="1505" t="n"/>
      <c r="AX53" s="1505" t="n"/>
      <c r="AY53" s="1505" t="n"/>
      <c r="AZ53" s="1505" t="n"/>
      <c r="BA53" s="1505" t="n"/>
      <c r="BB53" s="1505" t="n"/>
      <c r="BC53" s="1507">
        <f>SUM(AQ53:BB53)</f>
        <v/>
      </c>
      <c r="BD53" s="1505" t="n"/>
      <c r="BE53" s="1505" t="n"/>
      <c r="BF53" s="1505" t="n"/>
      <c r="BG53" s="1505" t="n"/>
      <c r="BH53" s="1505" t="n"/>
      <c r="BI53" s="1505" t="n"/>
      <c r="BJ53" s="1505" t="n"/>
      <c r="BK53" s="1505" t="n"/>
      <c r="BL53" s="1505" t="n"/>
      <c r="BM53" s="1505" t="n"/>
      <c r="BN53" s="1505" t="n"/>
      <c r="BO53" s="1505" t="n"/>
      <c r="BP53" s="1507">
        <f>SUM(BD53:BO53)</f>
        <v/>
      </c>
      <c r="BQ53" s="1505" t="n"/>
      <c r="BR53" s="1505" t="n"/>
      <c r="BS53" s="1505" t="n"/>
      <c r="BT53" s="1505" t="n"/>
      <c r="BU53" s="1505" t="n"/>
      <c r="BV53" s="1505" t="n"/>
      <c r="BW53" s="1505" t="n"/>
      <c r="BX53" s="1505" t="n"/>
      <c r="BY53" s="1505" t="n"/>
      <c r="BZ53" s="1505" t="n"/>
      <c r="CA53" s="1505" t="n"/>
      <c r="CB53" s="1505" t="n"/>
      <c r="CC53" s="1507">
        <f>SUM(BQ53:CB53)</f>
        <v/>
      </c>
      <c r="CD53" s="1505" t="n"/>
      <c r="CE53" s="1505" t="n"/>
      <c r="CF53" s="1505" t="n"/>
      <c r="CG53" s="1505" t="n"/>
      <c r="CH53" s="1505" t="n"/>
      <c r="CI53" s="1505" t="n"/>
      <c r="CJ53" s="1505" t="n"/>
      <c r="CK53" s="1505" t="n"/>
      <c r="CL53" s="1505" t="n"/>
      <c r="CM53" s="1505" t="n"/>
      <c r="CN53" s="1505" t="n"/>
      <c r="CO53" s="1505" t="n"/>
      <c r="CP53" s="1507">
        <f>SUM(CD53:CO53)</f>
        <v/>
      </c>
      <c r="CQ53" s="1505" t="n"/>
      <c r="CR53" s="1505" t="n"/>
      <c r="CS53" s="1505" t="n"/>
      <c r="CT53" s="1505" t="n"/>
      <c r="CU53" s="1505" t="n"/>
      <c r="CV53" s="1505" t="n"/>
      <c r="CW53" s="1505" t="n"/>
      <c r="CX53" s="1505" t="n"/>
      <c r="CY53" s="1505" t="n"/>
      <c r="CZ53" s="1505" t="n"/>
      <c r="DA53" s="1505" t="n"/>
      <c r="DB53" s="1505" t="n"/>
      <c r="DC53" s="1507">
        <f>SUM(CQ53:DB53)</f>
        <v/>
      </c>
      <c r="DD53" s="1505" t="n"/>
      <c r="DE53" s="1505" t="n"/>
      <c r="DF53" s="1505" t="n"/>
      <c r="DG53" s="1505" t="n"/>
      <c r="DH53" s="1505" t="n"/>
      <c r="DI53" s="1505" t="n"/>
      <c r="DJ53" s="1505" t="n"/>
      <c r="DK53" s="1505" t="n"/>
      <c r="DL53" s="1505" t="n"/>
      <c r="DM53" s="1505" t="n"/>
      <c r="DN53" s="1505" t="n"/>
      <c r="DO53" s="1505" t="n"/>
      <c r="DP53" s="1507">
        <f>SUM(DD53:DO53)</f>
        <v/>
      </c>
    </row>
    <row r="54">
      <c r="B54" s="719" t="n"/>
      <c r="C54" s="1505" t="n"/>
      <c r="D54" s="1505" t="n"/>
      <c r="E54" s="1505" t="n"/>
      <c r="F54" s="1505" t="n"/>
      <c r="G54" s="1505" t="n"/>
      <c r="H54" s="1505" t="n"/>
      <c r="I54" s="1505" t="n"/>
      <c r="J54" s="1505" t="n"/>
      <c r="K54" s="1505" t="n"/>
      <c r="L54" s="1505" t="n"/>
      <c r="M54" s="1505" t="n"/>
      <c r="N54" s="1505" t="n"/>
      <c r="O54" s="1505" t="n"/>
      <c r="P54" s="1507">
        <f>SUM(C54:O54)</f>
        <v/>
      </c>
      <c r="Q54" s="1505" t="n"/>
      <c r="R54" s="1505" t="n"/>
      <c r="S54" s="1505" t="n"/>
      <c r="T54" s="1505" t="n"/>
      <c r="U54" s="1505" t="n"/>
      <c r="V54" s="1505" t="n"/>
      <c r="W54" s="1505" t="n"/>
      <c r="X54" s="1505" t="n"/>
      <c r="Y54" s="1505" t="n"/>
      <c r="Z54" s="1505" t="n"/>
      <c r="AA54" s="1505" t="n"/>
      <c r="AB54" s="1505" t="n"/>
      <c r="AC54" s="1507">
        <f>SUM(Q54:AB54)</f>
        <v/>
      </c>
      <c r="AD54" s="1505" t="n"/>
      <c r="AE54" s="1505" t="n"/>
      <c r="AF54" s="1505" t="n"/>
      <c r="AG54" s="1505" t="n"/>
      <c r="AH54" s="1505" t="n"/>
      <c r="AI54" s="1505" t="n"/>
      <c r="AJ54" s="1505" t="n"/>
      <c r="AK54" s="1505" t="n"/>
      <c r="AL54" s="1505" t="n"/>
      <c r="AM54" s="1505" t="n"/>
      <c r="AN54" s="1505" t="n"/>
      <c r="AO54" s="1505" t="n"/>
      <c r="AP54" s="1507">
        <f>SUM(AD54:AO54)</f>
        <v/>
      </c>
      <c r="AQ54" s="1505" t="n"/>
      <c r="AR54" s="1505" t="n"/>
      <c r="AS54" s="1505" t="n"/>
      <c r="AT54" s="1505" t="n"/>
      <c r="AU54" s="1505" t="n"/>
      <c r="AV54" s="1505" t="n"/>
      <c r="AW54" s="1505" t="n"/>
      <c r="AX54" s="1505" t="n"/>
      <c r="AY54" s="1505" t="n"/>
      <c r="AZ54" s="1505" t="n"/>
      <c r="BA54" s="1505" t="n"/>
      <c r="BB54" s="1505" t="n"/>
      <c r="BC54" s="1507">
        <f>SUM(AQ54:BB54)</f>
        <v/>
      </c>
      <c r="BD54" s="1505" t="n"/>
      <c r="BE54" s="1505" t="n"/>
      <c r="BF54" s="1505" t="n"/>
      <c r="BG54" s="1505" t="n"/>
      <c r="BH54" s="1505" t="n"/>
      <c r="BI54" s="1505" t="n"/>
      <c r="BJ54" s="1505" t="n"/>
      <c r="BK54" s="1505" t="n"/>
      <c r="BL54" s="1505" t="n"/>
      <c r="BM54" s="1505" t="n"/>
      <c r="BN54" s="1505" t="n"/>
      <c r="BO54" s="1505" t="n"/>
      <c r="BP54" s="1507">
        <f>SUM(BD54:BO54)</f>
        <v/>
      </c>
      <c r="BQ54" s="1505" t="n"/>
      <c r="BR54" s="1505" t="n"/>
      <c r="BS54" s="1505" t="n"/>
      <c r="BT54" s="1505" t="n"/>
      <c r="BU54" s="1505" t="n"/>
      <c r="BV54" s="1505" t="n"/>
      <c r="BW54" s="1505" t="n"/>
      <c r="BX54" s="1505" t="n"/>
      <c r="BY54" s="1505" t="n"/>
      <c r="BZ54" s="1505" t="n"/>
      <c r="CA54" s="1505" t="n"/>
      <c r="CB54" s="1505" t="n"/>
      <c r="CC54" s="1507">
        <f>SUM(BQ54:CB54)</f>
        <v/>
      </c>
      <c r="CD54" s="1505" t="n"/>
      <c r="CE54" s="1505" t="n"/>
      <c r="CF54" s="1505" t="n"/>
      <c r="CG54" s="1505" t="n"/>
      <c r="CH54" s="1505" t="n"/>
      <c r="CI54" s="1505" t="n"/>
      <c r="CJ54" s="1505" t="n"/>
      <c r="CK54" s="1505" t="n"/>
      <c r="CL54" s="1505" t="n"/>
      <c r="CM54" s="1505" t="n"/>
      <c r="CN54" s="1505" t="n"/>
      <c r="CO54" s="1505" t="n"/>
      <c r="CP54" s="1507">
        <f>SUM(CD54:CO54)</f>
        <v/>
      </c>
      <c r="CQ54" s="1505" t="n"/>
      <c r="CR54" s="1505" t="n"/>
      <c r="CS54" s="1505" t="n"/>
      <c r="CT54" s="1505" t="n"/>
      <c r="CU54" s="1505" t="n"/>
      <c r="CV54" s="1505" t="n"/>
      <c r="CW54" s="1505" t="n"/>
      <c r="CX54" s="1505" t="n"/>
      <c r="CY54" s="1505" t="n"/>
      <c r="CZ54" s="1505" t="n"/>
      <c r="DA54" s="1505" t="n"/>
      <c r="DB54" s="1505" t="n"/>
      <c r="DC54" s="1507">
        <f>SUM(CQ54:DB54)</f>
        <v/>
      </c>
      <c r="DD54" s="1505" t="n"/>
      <c r="DE54" s="1505" t="n"/>
      <c r="DF54" s="1505" t="n"/>
      <c r="DG54" s="1505" t="n"/>
      <c r="DH54" s="1505" t="n"/>
      <c r="DI54" s="1505" t="n"/>
      <c r="DJ54" s="1505" t="n"/>
      <c r="DK54" s="1505" t="n"/>
      <c r="DL54" s="1505" t="n"/>
      <c r="DM54" s="1505" t="n"/>
      <c r="DN54" s="1505" t="n"/>
      <c r="DO54" s="1505" t="n"/>
      <c r="DP54" s="1507">
        <f>SUM(DD54:DO54)</f>
        <v/>
      </c>
    </row>
    <row r="55">
      <c r="B55" s="724" t="n"/>
      <c r="C55" s="1505" t="n"/>
      <c r="D55" s="1505" t="n"/>
      <c r="E55" s="1505" t="n"/>
      <c r="F55" s="1505" t="n"/>
      <c r="G55" s="1505" t="n"/>
      <c r="H55" s="1505" t="n"/>
      <c r="I55" s="1505" t="n"/>
      <c r="J55" s="1505" t="n"/>
      <c r="K55" s="1505" t="n"/>
      <c r="L55" s="1505" t="n"/>
      <c r="M55" s="1505" t="n"/>
      <c r="N55" s="1505" t="n"/>
      <c r="O55" s="1505" t="n"/>
      <c r="P55" s="1507">
        <f>SUM(C55:O55)</f>
        <v/>
      </c>
      <c r="Q55" s="1505" t="n"/>
      <c r="R55" s="1505" t="n"/>
      <c r="S55" s="1505" t="n"/>
      <c r="T55" s="1505" t="n"/>
      <c r="U55" s="1505" t="n"/>
      <c r="V55" s="1505" t="n"/>
      <c r="W55" s="1505" t="n"/>
      <c r="X55" s="1505" t="n"/>
      <c r="Y55" s="1505" t="n"/>
      <c r="Z55" s="1505" t="n"/>
      <c r="AA55" s="1505" t="n"/>
      <c r="AB55" s="1505" t="n"/>
      <c r="AC55" s="1507">
        <f>SUM(Q55:AB55)</f>
        <v/>
      </c>
      <c r="AD55" s="1505" t="n"/>
      <c r="AE55" s="1505" t="n"/>
      <c r="AF55" s="1505" t="n"/>
      <c r="AG55" s="1505" t="n"/>
      <c r="AH55" s="1505" t="n"/>
      <c r="AI55" s="1505" t="n"/>
      <c r="AJ55" s="1505" t="n"/>
      <c r="AK55" s="1505" t="n"/>
      <c r="AL55" s="1505" t="n"/>
      <c r="AM55" s="1505" t="n"/>
      <c r="AN55" s="1505" t="n"/>
      <c r="AO55" s="1505" t="n"/>
      <c r="AP55" s="1507">
        <f>SUM(AD55:AO55)</f>
        <v/>
      </c>
      <c r="AQ55" s="1505" t="n"/>
      <c r="AR55" s="1505" t="n"/>
      <c r="AS55" s="1505" t="n"/>
      <c r="AT55" s="1505" t="n"/>
      <c r="AU55" s="1505" t="n"/>
      <c r="AV55" s="1505" t="n"/>
      <c r="AW55" s="1505" t="n"/>
      <c r="AX55" s="1505" t="n"/>
      <c r="AY55" s="1505" t="n"/>
      <c r="AZ55" s="1505" t="n"/>
      <c r="BA55" s="1505" t="n"/>
      <c r="BB55" s="1505" t="n"/>
      <c r="BC55" s="1507">
        <f>SUM(AQ55:BB55)</f>
        <v/>
      </c>
      <c r="BD55" s="1505" t="n"/>
      <c r="BE55" s="1505" t="n"/>
      <c r="BF55" s="1505" t="n"/>
      <c r="BG55" s="1505" t="n"/>
      <c r="BH55" s="1505" t="n"/>
      <c r="BI55" s="1505" t="n"/>
      <c r="BJ55" s="1505" t="n"/>
      <c r="BK55" s="1505" t="n"/>
      <c r="BL55" s="1505" t="n"/>
      <c r="BM55" s="1505" t="n"/>
      <c r="BN55" s="1505" t="n"/>
      <c r="BO55" s="1505" t="n"/>
      <c r="BP55" s="1507">
        <f>SUM(BD55:BO55)</f>
        <v/>
      </c>
      <c r="BQ55" s="1505" t="n"/>
      <c r="BR55" s="1505" t="n"/>
      <c r="BS55" s="1505" t="n"/>
      <c r="BT55" s="1505" t="n"/>
      <c r="BU55" s="1505" t="n"/>
      <c r="BV55" s="1505" t="n"/>
      <c r="BW55" s="1505" t="n"/>
      <c r="BX55" s="1505" t="n"/>
      <c r="BY55" s="1505" t="n"/>
      <c r="BZ55" s="1505" t="n"/>
      <c r="CA55" s="1505" t="n"/>
      <c r="CB55" s="1505" t="n"/>
      <c r="CC55" s="1507">
        <f>SUM(BQ55:CB55)</f>
        <v/>
      </c>
      <c r="CD55" s="1505" t="n"/>
      <c r="CE55" s="1505" t="n"/>
      <c r="CF55" s="1505" t="n"/>
      <c r="CG55" s="1505" t="n"/>
      <c r="CH55" s="1505" t="n"/>
      <c r="CI55" s="1505" t="n"/>
      <c r="CJ55" s="1505" t="n"/>
      <c r="CK55" s="1505" t="n"/>
      <c r="CL55" s="1505" t="n"/>
      <c r="CM55" s="1505" t="n"/>
      <c r="CN55" s="1505" t="n"/>
      <c r="CO55" s="1505" t="n"/>
      <c r="CP55" s="1507">
        <f>SUM(CD55:CO55)</f>
        <v/>
      </c>
      <c r="CQ55" s="1505" t="n"/>
      <c r="CR55" s="1505" t="n"/>
      <c r="CS55" s="1505" t="n"/>
      <c r="CT55" s="1505" t="n"/>
      <c r="CU55" s="1505" t="n"/>
      <c r="CV55" s="1505" t="n"/>
      <c r="CW55" s="1505" t="n"/>
      <c r="CX55" s="1505" t="n"/>
      <c r="CY55" s="1505" t="n"/>
      <c r="CZ55" s="1505" t="n"/>
      <c r="DA55" s="1505" t="n"/>
      <c r="DB55" s="1505" t="n"/>
      <c r="DC55" s="1507">
        <f>SUM(CQ55:DB55)</f>
        <v/>
      </c>
      <c r="DD55" s="1505" t="n"/>
      <c r="DE55" s="1505" t="n"/>
      <c r="DF55" s="1505" t="n"/>
      <c r="DG55" s="1505" t="n"/>
      <c r="DH55" s="1505" t="n"/>
      <c r="DI55" s="1505" t="n"/>
      <c r="DJ55" s="1505" t="n"/>
      <c r="DK55" s="1505" t="n"/>
      <c r="DL55" s="1505" t="n"/>
      <c r="DM55" s="1505" t="n"/>
      <c r="DN55" s="1505" t="n"/>
      <c r="DO55" s="1505" t="n"/>
      <c r="DP55" s="1507">
        <f>SUM(DD55:DO55)</f>
        <v/>
      </c>
    </row>
    <row r="56">
      <c r="B56" s="724" t="n"/>
      <c r="C56" s="1505" t="n"/>
      <c r="D56" s="1505" t="n"/>
      <c r="E56" s="1505" t="n"/>
      <c r="F56" s="1505" t="n"/>
      <c r="G56" s="1505" t="n"/>
      <c r="H56" s="1505" t="n"/>
      <c r="I56" s="1505" t="n"/>
      <c r="J56" s="1505" t="n"/>
      <c r="K56" s="1505" t="n"/>
      <c r="L56" s="1505" t="n"/>
      <c r="M56" s="1505" t="n"/>
      <c r="N56" s="1505" t="n"/>
      <c r="O56" s="1505" t="n"/>
      <c r="P56" s="1507">
        <f>SUM(C56:O56)</f>
        <v/>
      </c>
      <c r="Q56" s="1505" t="n"/>
      <c r="R56" s="1505" t="n"/>
      <c r="S56" s="1505" t="n"/>
      <c r="T56" s="1505" t="n"/>
      <c r="U56" s="1505" t="n"/>
      <c r="V56" s="1505" t="n"/>
      <c r="W56" s="1505" t="n"/>
      <c r="X56" s="1505" t="n"/>
      <c r="Y56" s="1505" t="n"/>
      <c r="Z56" s="1505" t="n"/>
      <c r="AA56" s="1505" t="n"/>
      <c r="AB56" s="1505" t="n"/>
      <c r="AC56" s="1507">
        <f>SUM(Q56:AB56)</f>
        <v/>
      </c>
      <c r="AD56" s="1505" t="n"/>
      <c r="AE56" s="1505" t="n"/>
      <c r="AF56" s="1505" t="n"/>
      <c r="AG56" s="1505" t="n"/>
      <c r="AH56" s="1505" t="n"/>
      <c r="AI56" s="1505" t="n"/>
      <c r="AJ56" s="1505" t="n"/>
      <c r="AK56" s="1505" t="n"/>
      <c r="AL56" s="1505" t="n"/>
      <c r="AM56" s="1505" t="n"/>
      <c r="AN56" s="1505" t="n"/>
      <c r="AO56" s="1505" t="n"/>
      <c r="AP56" s="1507">
        <f>SUM(AD56:AO56)</f>
        <v/>
      </c>
      <c r="AQ56" s="1505" t="n"/>
      <c r="AR56" s="1505" t="n"/>
      <c r="AS56" s="1505" t="n"/>
      <c r="AT56" s="1505" t="n"/>
      <c r="AU56" s="1505" t="n"/>
      <c r="AV56" s="1505" t="n"/>
      <c r="AW56" s="1505" t="n"/>
      <c r="AX56" s="1505" t="n"/>
      <c r="AY56" s="1505" t="n"/>
      <c r="AZ56" s="1505" t="n"/>
      <c r="BA56" s="1505" t="n"/>
      <c r="BB56" s="1505" t="n"/>
      <c r="BC56" s="1507">
        <f>SUM(AQ56:BB56)</f>
        <v/>
      </c>
      <c r="BD56" s="1505" t="n"/>
      <c r="BE56" s="1505" t="n"/>
      <c r="BF56" s="1505" t="n"/>
      <c r="BG56" s="1505" t="n"/>
      <c r="BH56" s="1505" t="n"/>
      <c r="BI56" s="1505" t="n"/>
      <c r="BJ56" s="1505" t="n"/>
      <c r="BK56" s="1505" t="n"/>
      <c r="BL56" s="1505" t="n"/>
      <c r="BM56" s="1505" t="n"/>
      <c r="BN56" s="1505" t="n"/>
      <c r="BO56" s="1505" t="n"/>
      <c r="BP56" s="1507">
        <f>SUM(BD56:BO56)</f>
        <v/>
      </c>
      <c r="BQ56" s="1505" t="n"/>
      <c r="BR56" s="1505" t="n"/>
      <c r="BS56" s="1505" t="n"/>
      <c r="BT56" s="1505" t="n"/>
      <c r="BU56" s="1505" t="n"/>
      <c r="BV56" s="1505" t="n"/>
      <c r="BW56" s="1505" t="n"/>
      <c r="BX56" s="1505" t="n"/>
      <c r="BY56" s="1505" t="n"/>
      <c r="BZ56" s="1505" t="n"/>
      <c r="CA56" s="1505" t="n"/>
      <c r="CB56" s="1505" t="n"/>
      <c r="CC56" s="1507">
        <f>SUM(BQ56:CB56)</f>
        <v/>
      </c>
      <c r="CD56" s="1505" t="n"/>
      <c r="CE56" s="1505" t="n"/>
      <c r="CF56" s="1505" t="n"/>
      <c r="CG56" s="1505" t="n"/>
      <c r="CH56" s="1505" t="n"/>
      <c r="CI56" s="1505" t="n"/>
      <c r="CJ56" s="1505" t="n"/>
      <c r="CK56" s="1505" t="n"/>
      <c r="CL56" s="1505" t="n"/>
      <c r="CM56" s="1505" t="n"/>
      <c r="CN56" s="1505" t="n"/>
      <c r="CO56" s="1505" t="n"/>
      <c r="CP56" s="1507">
        <f>SUM(CD56:CO56)</f>
        <v/>
      </c>
      <c r="CQ56" s="1505" t="n"/>
      <c r="CR56" s="1505" t="n"/>
      <c r="CS56" s="1505" t="n"/>
      <c r="CT56" s="1505" t="n"/>
      <c r="CU56" s="1505" t="n"/>
      <c r="CV56" s="1505" t="n"/>
      <c r="CW56" s="1505" t="n"/>
      <c r="CX56" s="1505" t="n"/>
      <c r="CY56" s="1505" t="n"/>
      <c r="CZ56" s="1505" t="n"/>
      <c r="DA56" s="1505" t="n"/>
      <c r="DB56" s="1505" t="n"/>
      <c r="DC56" s="1507">
        <f>SUM(CQ56:DB56)</f>
        <v/>
      </c>
      <c r="DD56" s="1505" t="n"/>
      <c r="DE56" s="1505" t="n"/>
      <c r="DF56" s="1505" t="n"/>
      <c r="DG56" s="1505" t="n"/>
      <c r="DH56" s="1505" t="n"/>
      <c r="DI56" s="1505" t="n"/>
      <c r="DJ56" s="1505" t="n"/>
      <c r="DK56" s="1505" t="n"/>
      <c r="DL56" s="1505" t="n"/>
      <c r="DM56" s="1505" t="n"/>
      <c r="DN56" s="1505" t="n"/>
      <c r="DO56" s="1505" t="n"/>
      <c r="DP56" s="1507">
        <f>SUM(DD56:DO56)</f>
        <v/>
      </c>
    </row>
    <row r="57">
      <c r="A57" s="735" t="n"/>
      <c r="B57" s="724" t="n"/>
      <c r="C57" s="1505" t="n"/>
      <c r="D57" s="1505" t="n"/>
      <c r="E57" s="1505" t="n"/>
      <c r="F57" s="1505" t="n"/>
      <c r="G57" s="1505" t="n"/>
      <c r="H57" s="1505" t="n"/>
      <c r="I57" s="1505" t="n"/>
      <c r="J57" s="1505" t="n"/>
      <c r="K57" s="1505" t="n"/>
      <c r="L57" s="1505" t="n"/>
      <c r="M57" s="1505" t="n"/>
      <c r="N57" s="1505" t="n"/>
      <c r="O57" s="1505" t="n"/>
      <c r="P57" s="1507">
        <f>SUM(C57:O57)</f>
        <v/>
      </c>
      <c r="Q57" s="1505" t="n"/>
      <c r="R57" s="1505" t="n"/>
      <c r="S57" s="1505" t="n"/>
      <c r="T57" s="1505" t="n"/>
      <c r="U57" s="1505" t="n"/>
      <c r="V57" s="1505" t="n"/>
      <c r="W57" s="1505" t="n"/>
      <c r="X57" s="1505" t="n"/>
      <c r="Y57" s="1505" t="n"/>
      <c r="Z57" s="1505" t="n"/>
      <c r="AA57" s="1505" t="n"/>
      <c r="AB57" s="1505" t="n"/>
      <c r="AC57" s="1507">
        <f>SUM(Q57:AB57)</f>
        <v/>
      </c>
      <c r="AD57" s="1505" t="n"/>
      <c r="AE57" s="1505" t="n"/>
      <c r="AF57" s="1505" t="n"/>
      <c r="AG57" s="1505" t="n"/>
      <c r="AH57" s="1505" t="n"/>
      <c r="AI57" s="1505" t="n"/>
      <c r="AJ57" s="1505" t="n"/>
      <c r="AK57" s="1505" t="n"/>
      <c r="AL57" s="1505" t="n"/>
      <c r="AM57" s="1505" t="n"/>
      <c r="AN57" s="1505" t="n"/>
      <c r="AO57" s="1505" t="n"/>
      <c r="AP57" s="1507">
        <f>SUM(AD57:AO57)</f>
        <v/>
      </c>
      <c r="AQ57" s="1505" t="n"/>
      <c r="AR57" s="1505" t="n"/>
      <c r="AS57" s="1505" t="n"/>
      <c r="AT57" s="1505" t="n"/>
      <c r="AU57" s="1505" t="n"/>
      <c r="AV57" s="1505" t="n"/>
      <c r="AW57" s="1505" t="n"/>
      <c r="AX57" s="1505" t="n"/>
      <c r="AY57" s="1505" t="n"/>
      <c r="AZ57" s="1505" t="n"/>
      <c r="BA57" s="1505" t="n"/>
      <c r="BB57" s="1505" t="n"/>
      <c r="BC57" s="1507">
        <f>SUM(AQ57:BB57)</f>
        <v/>
      </c>
      <c r="BD57" s="1505" t="n"/>
      <c r="BE57" s="1505" t="n"/>
      <c r="BF57" s="1505" t="n"/>
      <c r="BG57" s="1505" t="n"/>
      <c r="BH57" s="1505" t="n"/>
      <c r="BI57" s="1505" t="n"/>
      <c r="BJ57" s="1505" t="n"/>
      <c r="BK57" s="1505" t="n"/>
      <c r="BL57" s="1505" t="n"/>
      <c r="BM57" s="1505" t="n"/>
      <c r="BN57" s="1505" t="n"/>
      <c r="BO57" s="1505" t="n"/>
      <c r="BP57" s="1507">
        <f>SUM(BD57:BO57)</f>
        <v/>
      </c>
      <c r="BQ57" s="1505" t="n"/>
      <c r="BR57" s="1505" t="n"/>
      <c r="BS57" s="1505" t="n"/>
      <c r="BT57" s="1505" t="n"/>
      <c r="BU57" s="1505" t="n"/>
      <c r="BV57" s="1505" t="n"/>
      <c r="BW57" s="1505" t="n"/>
      <c r="BX57" s="1505" t="n"/>
      <c r="BY57" s="1505" t="n"/>
      <c r="BZ57" s="1505" t="n"/>
      <c r="CA57" s="1505" t="n"/>
      <c r="CB57" s="1505" t="n"/>
      <c r="CC57" s="1507">
        <f>SUM(BQ57:CB57)</f>
        <v/>
      </c>
      <c r="CD57" s="1505" t="n"/>
      <c r="CE57" s="1505" t="n"/>
      <c r="CF57" s="1505" t="n"/>
      <c r="CG57" s="1505" t="n"/>
      <c r="CH57" s="1505" t="n"/>
      <c r="CI57" s="1505" t="n"/>
      <c r="CJ57" s="1505" t="n"/>
      <c r="CK57" s="1505" t="n"/>
      <c r="CL57" s="1505" t="n"/>
      <c r="CM57" s="1505" t="n"/>
      <c r="CN57" s="1505" t="n"/>
      <c r="CO57" s="1505" t="n"/>
      <c r="CP57" s="1507">
        <f>SUM(CD57:CO57)</f>
        <v/>
      </c>
      <c r="CQ57" s="1505" t="n"/>
      <c r="CR57" s="1505" t="n"/>
      <c r="CS57" s="1505" t="n"/>
      <c r="CT57" s="1505" t="n"/>
      <c r="CU57" s="1505" t="n"/>
      <c r="CV57" s="1505" t="n"/>
      <c r="CW57" s="1505" t="n"/>
      <c r="CX57" s="1505" t="n"/>
      <c r="CY57" s="1505" t="n"/>
      <c r="CZ57" s="1505" t="n"/>
      <c r="DA57" s="1505" t="n"/>
      <c r="DB57" s="1505" t="n"/>
      <c r="DC57" s="1507">
        <f>SUM(CQ57:DB57)</f>
        <v/>
      </c>
      <c r="DD57" s="1505" t="n"/>
      <c r="DE57" s="1505" t="n"/>
      <c r="DF57" s="1505" t="n"/>
      <c r="DG57" s="1505" t="n"/>
      <c r="DH57" s="1505" t="n"/>
      <c r="DI57" s="1505" t="n"/>
      <c r="DJ57" s="1505" t="n"/>
      <c r="DK57" s="1505" t="n"/>
      <c r="DL57" s="1505" t="n"/>
      <c r="DM57" s="1505" t="n"/>
      <c r="DN57" s="1505" t="n"/>
      <c r="DO57" s="1505" t="n"/>
      <c r="DP57" s="1507">
        <f>SUM(DD57:DO57)</f>
        <v/>
      </c>
    </row>
    <row r="58">
      <c r="B58" s="724" t="n"/>
      <c r="C58" s="1505">
        <f>-C57</f>
        <v/>
      </c>
      <c r="D58" s="1505" t="n"/>
      <c r="E58" s="1505" t="n"/>
      <c r="F58" s="1505" t="n"/>
      <c r="G58" s="1505" t="n"/>
      <c r="H58" s="1505" t="n"/>
      <c r="I58" s="1505" t="n"/>
      <c r="J58" s="1505" t="n"/>
      <c r="K58" s="1505" t="n"/>
      <c r="L58" s="1505" t="n"/>
      <c r="M58" s="1505" t="n"/>
      <c r="N58" s="1505" t="n"/>
      <c r="O58" s="1505" t="n"/>
      <c r="P58" s="1507">
        <f>SUM(C58:O58)</f>
        <v/>
      </c>
      <c r="Q58" s="1505" t="n"/>
      <c r="R58" s="1505" t="n"/>
      <c r="S58" s="1505" t="n"/>
      <c r="T58" s="1505" t="n"/>
      <c r="U58" s="1505" t="n"/>
      <c r="V58" s="1505" t="n"/>
      <c r="W58" s="1505" t="n"/>
      <c r="X58" s="1505" t="n"/>
      <c r="Y58" s="1505" t="n"/>
      <c r="Z58" s="1505" t="n"/>
      <c r="AA58" s="1505" t="n"/>
      <c r="AB58" s="1505" t="n"/>
      <c r="AC58" s="1507">
        <f>SUM(Q58:AB58)</f>
        <v/>
      </c>
      <c r="AD58" s="1505" t="n"/>
      <c r="AE58" s="1505" t="n"/>
      <c r="AF58" s="1505" t="n"/>
      <c r="AG58" s="1505" t="n"/>
      <c r="AH58" s="1505" t="n"/>
      <c r="AI58" s="1505" t="n"/>
      <c r="AJ58" s="1505" t="n"/>
      <c r="AK58" s="1505" t="n"/>
      <c r="AL58" s="1505" t="n"/>
      <c r="AM58" s="1505" t="n"/>
      <c r="AN58" s="1505" t="n"/>
      <c r="AO58" s="1505" t="n"/>
      <c r="AP58" s="1507">
        <f>SUM(AD58:AO58)</f>
        <v/>
      </c>
      <c r="AQ58" s="1505">
        <f>-AQ57</f>
        <v/>
      </c>
      <c r="AR58" s="1505" t="n"/>
      <c r="AS58" s="1505" t="n"/>
      <c r="AT58" s="1505">
        <f>-AT57</f>
        <v/>
      </c>
      <c r="AU58" s="1505">
        <f>-AU57</f>
        <v/>
      </c>
      <c r="AV58" s="1505">
        <f>-AV57</f>
        <v/>
      </c>
      <c r="AW58" s="1505">
        <f>-AW57</f>
        <v/>
      </c>
      <c r="AX58" s="1505">
        <f>-AX57</f>
        <v/>
      </c>
      <c r="AY58" s="1505">
        <f>-AY57</f>
        <v/>
      </c>
      <c r="AZ58" s="1505">
        <f>-AZ57</f>
        <v/>
      </c>
      <c r="BA58" s="1505" t="n"/>
      <c r="BB58" s="1505" t="n"/>
      <c r="BC58" s="1507">
        <f>SUM(AQ58:BB58)</f>
        <v/>
      </c>
      <c r="BD58" s="1505" t="n"/>
      <c r="BE58" s="1505" t="n"/>
      <c r="BF58" s="1505" t="n"/>
      <c r="BG58" s="1505" t="n"/>
      <c r="BH58" s="1505" t="n"/>
      <c r="BI58" s="1505" t="n"/>
      <c r="BJ58" s="1505" t="n"/>
      <c r="BK58" s="1505" t="n"/>
      <c r="BL58" s="1505" t="n"/>
      <c r="BM58" s="1505" t="n"/>
      <c r="BN58" s="1505" t="n"/>
      <c r="BO58" s="1505" t="n"/>
      <c r="BP58" s="1507" t="n"/>
      <c r="BQ58" s="1505" t="n"/>
      <c r="BR58" s="1505" t="n"/>
      <c r="BS58" s="1505" t="n"/>
      <c r="BT58" s="1505" t="n"/>
      <c r="BU58" s="1505" t="n"/>
      <c r="BV58" s="1505" t="n"/>
      <c r="BW58" s="1505" t="n"/>
      <c r="BX58" s="1505" t="n"/>
      <c r="BY58" s="1505" t="n"/>
      <c r="BZ58" s="1505" t="n"/>
      <c r="CA58" s="1505" t="n"/>
      <c r="CB58" s="1505" t="n"/>
      <c r="CC58" s="1507" t="n"/>
      <c r="CD58" s="1505" t="n"/>
      <c r="CE58" s="1505" t="n"/>
      <c r="CF58" s="1505" t="n"/>
      <c r="CG58" s="1505" t="n"/>
      <c r="CH58" s="1505" t="n"/>
      <c r="CI58" s="1505" t="n"/>
      <c r="CJ58" s="1505" t="n"/>
      <c r="CK58" s="1505" t="n"/>
      <c r="CL58" s="1505" t="n"/>
      <c r="CM58" s="1505" t="n"/>
      <c r="CN58" s="1505" t="n"/>
      <c r="CO58" s="1505" t="n"/>
      <c r="CP58" s="1507" t="n"/>
      <c r="CQ58" s="1505" t="n"/>
      <c r="CR58" s="1505" t="n"/>
      <c r="CS58" s="1505" t="n"/>
      <c r="CT58" s="1505" t="n"/>
      <c r="CU58" s="1505" t="n"/>
      <c r="CV58" s="1505" t="n"/>
      <c r="CW58" s="1505" t="n"/>
      <c r="CX58" s="1505" t="n"/>
      <c r="CY58" s="1505" t="n"/>
      <c r="CZ58" s="1505" t="n"/>
      <c r="DA58" s="1505" t="n"/>
      <c r="DB58" s="1505" t="n"/>
      <c r="DC58" s="1507" t="n"/>
      <c r="DD58" s="1505" t="n"/>
      <c r="DE58" s="1505" t="n"/>
      <c r="DF58" s="1505" t="n"/>
      <c r="DG58" s="1505" t="n"/>
      <c r="DH58" s="1505" t="n"/>
      <c r="DI58" s="1505" t="n"/>
      <c r="DJ58" s="1505" t="n"/>
      <c r="DK58" s="1505" t="n"/>
      <c r="DL58" s="1505" t="n"/>
      <c r="DM58" s="1505" t="n"/>
      <c r="DN58" s="1505" t="n"/>
      <c r="DO58" s="1505" t="n"/>
      <c r="DP58" s="1507" t="n"/>
    </row>
    <row r="59">
      <c r="B59" s="724" t="n"/>
      <c r="C59" s="1505" t="n"/>
      <c r="D59" s="1505" t="n"/>
      <c r="E59" s="1505" t="n"/>
      <c r="F59" s="1505" t="n"/>
      <c r="G59" s="1505" t="n"/>
      <c r="H59" s="1505" t="n"/>
      <c r="I59" s="1505" t="n"/>
      <c r="J59" s="1505" t="n"/>
      <c r="K59" s="1505" t="n"/>
      <c r="L59" s="1505" t="n"/>
      <c r="M59" s="1505" t="n"/>
      <c r="N59" s="1505" t="n"/>
      <c r="O59" s="1505" t="n"/>
      <c r="P59" s="1507">
        <f>SUM(C59:O59)</f>
        <v/>
      </c>
      <c r="Q59" s="1505" t="n"/>
      <c r="R59" s="1505" t="n"/>
      <c r="S59" s="1505" t="n"/>
      <c r="T59" s="1505" t="n"/>
      <c r="U59" s="1505" t="n"/>
      <c r="V59" s="1505" t="n"/>
      <c r="W59" s="1505" t="n"/>
      <c r="X59" s="1505" t="n"/>
      <c r="Y59" s="1505" t="n"/>
      <c r="Z59" s="1505" t="n"/>
      <c r="AA59" s="1505" t="n"/>
      <c r="AB59" s="1505" t="n"/>
      <c r="AC59" s="1507">
        <f>SUM(Q59:AB59)</f>
        <v/>
      </c>
      <c r="AD59" s="1505" t="n"/>
      <c r="AE59" s="1505" t="n"/>
      <c r="AF59" s="1505" t="n"/>
      <c r="AG59" s="1505" t="n"/>
      <c r="AH59" s="1505" t="n"/>
      <c r="AI59" s="1505" t="n"/>
      <c r="AJ59" s="1505" t="n"/>
      <c r="AK59" s="1505" t="n"/>
      <c r="AL59" s="1505" t="n"/>
      <c r="AM59" s="1505" t="n"/>
      <c r="AN59" s="1505" t="n"/>
      <c r="AO59" s="1505" t="n"/>
      <c r="AP59" s="1507">
        <f>SUM(AD59:AO59)</f>
        <v/>
      </c>
      <c r="AQ59" s="1505" t="n"/>
      <c r="AR59" s="1505" t="n"/>
      <c r="AS59" s="1505" t="n"/>
      <c r="AT59" s="1505" t="n"/>
      <c r="AU59" s="1505" t="n"/>
      <c r="AV59" s="1505" t="n"/>
      <c r="AW59" s="1505" t="n"/>
      <c r="AX59" s="1505" t="n"/>
      <c r="AY59" s="1505" t="n"/>
      <c r="AZ59" s="1505" t="n"/>
      <c r="BA59" s="1505" t="n"/>
      <c r="BB59" s="1505" t="n"/>
      <c r="BC59" s="1507">
        <f>SUM(AQ59:BB59)</f>
        <v/>
      </c>
      <c r="BD59" s="1505" t="n"/>
      <c r="BE59" s="1505" t="n"/>
      <c r="BF59" s="1505" t="n"/>
      <c r="BG59" s="1505" t="n"/>
      <c r="BH59" s="1505" t="n"/>
      <c r="BI59" s="1505" t="n"/>
      <c r="BJ59" s="1505" t="n"/>
      <c r="BK59" s="1505" t="n"/>
      <c r="BL59" s="1505" t="n"/>
      <c r="BM59" s="1505" t="n"/>
      <c r="BN59" s="1505" t="n"/>
      <c r="BO59" s="1505" t="n"/>
      <c r="BP59" s="1507">
        <f>SUM(BD59:BO59)</f>
        <v/>
      </c>
      <c r="BQ59" s="1505" t="n"/>
      <c r="BR59" s="1505" t="n"/>
      <c r="BS59" s="1505" t="n"/>
      <c r="BT59" s="1505" t="n"/>
      <c r="BU59" s="1505" t="n"/>
      <c r="BV59" s="1505" t="n"/>
      <c r="BW59" s="1505" t="n"/>
      <c r="BX59" s="1505" t="n"/>
      <c r="BY59" s="1505" t="n"/>
      <c r="BZ59" s="1505" t="n"/>
      <c r="CA59" s="1505" t="n"/>
      <c r="CB59" s="1505" t="n"/>
      <c r="CC59" s="1507">
        <f>SUM(BQ59:CB59)</f>
        <v/>
      </c>
      <c r="CD59" s="1505" t="n"/>
      <c r="CE59" s="1505" t="n"/>
      <c r="CF59" s="1505" t="n"/>
      <c r="CG59" s="1505" t="n"/>
      <c r="CH59" s="1505" t="n"/>
      <c r="CI59" s="1505" t="n"/>
      <c r="CJ59" s="1505" t="n"/>
      <c r="CK59" s="1505" t="n"/>
      <c r="CL59" s="1505" t="n"/>
      <c r="CM59" s="1505" t="n"/>
      <c r="CN59" s="1505" t="n"/>
      <c r="CO59" s="1505" t="n"/>
      <c r="CP59" s="1507">
        <f>SUM(CD59:CO59)</f>
        <v/>
      </c>
      <c r="CQ59" s="1505" t="n"/>
      <c r="CR59" s="1505" t="n"/>
      <c r="CS59" s="1505" t="n"/>
      <c r="CT59" s="1505" t="n"/>
      <c r="CU59" s="1505" t="n"/>
      <c r="CV59" s="1505" t="n"/>
      <c r="CW59" s="1505" t="n"/>
      <c r="CX59" s="1505" t="n"/>
      <c r="CY59" s="1505" t="n"/>
      <c r="CZ59" s="1505" t="n"/>
      <c r="DA59" s="1505" t="n"/>
      <c r="DB59" s="1505" t="n"/>
      <c r="DC59" s="1507">
        <f>SUM(CQ59:DB59)</f>
        <v/>
      </c>
      <c r="DD59" s="1505" t="n"/>
      <c r="DE59" s="1505" t="n"/>
      <c r="DF59" s="1505" t="n"/>
      <c r="DG59" s="1505" t="n"/>
      <c r="DH59" s="1505" t="n"/>
      <c r="DI59" s="1505" t="n"/>
      <c r="DJ59" s="1505" t="n"/>
      <c r="DK59" s="1505" t="n"/>
      <c r="DL59" s="1505" t="n"/>
      <c r="DM59" s="1505" t="n"/>
      <c r="DN59" s="1505" t="n"/>
      <c r="DO59" s="1505" t="n"/>
      <c r="DP59" s="1507">
        <f>SUM(DD59:DO59)</f>
        <v/>
      </c>
    </row>
    <row r="60">
      <c r="B60" s="724" t="n"/>
      <c r="C60" s="1505" t="n"/>
      <c r="D60" s="1505" t="n"/>
      <c r="E60" s="1505" t="n"/>
      <c r="F60" s="1505" t="n"/>
      <c r="G60" s="1505" t="n"/>
      <c r="H60" s="1505" t="n"/>
      <c r="I60" s="1505" t="n"/>
      <c r="J60" s="1505" t="n"/>
      <c r="K60" s="1505" t="n"/>
      <c r="L60" s="1505" t="n"/>
      <c r="M60" s="1505" t="n"/>
      <c r="N60" s="1505" t="n"/>
      <c r="O60" s="1505" t="n"/>
      <c r="P60" s="1507">
        <f>SUM(C60:O60)</f>
        <v/>
      </c>
      <c r="Q60" s="1505" t="n"/>
      <c r="R60" s="1505" t="n"/>
      <c r="S60" s="1505" t="n"/>
      <c r="T60" s="1505" t="n"/>
      <c r="U60" s="1505" t="n"/>
      <c r="V60" s="1505" t="n"/>
      <c r="W60" s="1505" t="n"/>
      <c r="X60" s="1505" t="n"/>
      <c r="Y60" s="1505" t="n"/>
      <c r="Z60" s="1505" t="n"/>
      <c r="AA60" s="1505" t="n"/>
      <c r="AB60" s="1505" t="n"/>
      <c r="AC60" s="1507">
        <f>SUM(Q60:AB60)</f>
        <v/>
      </c>
      <c r="AD60" s="1505" t="n"/>
      <c r="AE60" s="1505" t="n"/>
      <c r="AF60" s="1505" t="n"/>
      <c r="AG60" s="1505" t="n"/>
      <c r="AH60" s="1505" t="n"/>
      <c r="AI60" s="1505" t="n"/>
      <c r="AJ60" s="1505" t="n"/>
      <c r="AK60" s="1505" t="n"/>
      <c r="AL60" s="1505" t="n"/>
      <c r="AM60" s="1505" t="n"/>
      <c r="AN60" s="1505" t="n"/>
      <c r="AO60" s="1505" t="n"/>
      <c r="AP60" s="1507">
        <f>SUM(AD60:AO60)</f>
        <v/>
      </c>
      <c r="AQ60" s="1505" t="n"/>
      <c r="AR60" s="1505" t="n"/>
      <c r="AS60" s="1505" t="n"/>
      <c r="AT60" s="1505" t="n"/>
      <c r="AU60" s="1505" t="n"/>
      <c r="AV60" s="1505" t="n"/>
      <c r="AW60" s="1505" t="n"/>
      <c r="AX60" s="1505" t="n"/>
      <c r="AY60" s="1505" t="n"/>
      <c r="AZ60" s="1505" t="n"/>
      <c r="BA60" s="1505" t="n"/>
      <c r="BB60" s="1505" t="n"/>
      <c r="BC60" s="1507">
        <f>SUM(AQ60:BB60)</f>
        <v/>
      </c>
      <c r="BD60" s="1505" t="n"/>
      <c r="BE60" s="1505" t="n"/>
      <c r="BF60" s="1505" t="n"/>
      <c r="BG60" s="1505" t="n"/>
      <c r="BH60" s="1505" t="n"/>
      <c r="BI60" s="1505" t="n"/>
      <c r="BJ60" s="1505" t="n"/>
      <c r="BK60" s="1505" t="n"/>
      <c r="BL60" s="1505" t="n"/>
      <c r="BM60" s="1505" t="n"/>
      <c r="BN60" s="1505" t="n"/>
      <c r="BO60" s="1505" t="n"/>
      <c r="BP60" s="1507">
        <f>SUM(BD60:BO60)</f>
        <v/>
      </c>
      <c r="BQ60" s="1505" t="n"/>
      <c r="BR60" s="1505" t="n"/>
      <c r="BS60" s="1505" t="n"/>
      <c r="BT60" s="1505" t="n"/>
      <c r="BU60" s="1505" t="n"/>
      <c r="BV60" s="1505" t="n"/>
      <c r="BW60" s="1505" t="n"/>
      <c r="BX60" s="1505" t="n"/>
      <c r="BY60" s="1505" t="n"/>
      <c r="BZ60" s="1505" t="n"/>
      <c r="CA60" s="1505" t="n"/>
      <c r="CB60" s="1505" t="n"/>
      <c r="CC60" s="1507">
        <f>SUM(BQ60:CB60)</f>
        <v/>
      </c>
      <c r="CD60" s="1505" t="n"/>
      <c r="CE60" s="1505" t="n"/>
      <c r="CF60" s="1505" t="n"/>
      <c r="CG60" s="1505" t="n"/>
      <c r="CH60" s="1505" t="n"/>
      <c r="CI60" s="1505" t="n"/>
      <c r="CJ60" s="1505" t="n"/>
      <c r="CK60" s="1505" t="n"/>
      <c r="CL60" s="1505" t="n"/>
      <c r="CM60" s="1505" t="n"/>
      <c r="CN60" s="1505" t="n"/>
      <c r="CO60" s="1505" t="n"/>
      <c r="CP60" s="1507">
        <f>SUM(CD60:CO60)</f>
        <v/>
      </c>
      <c r="CQ60" s="1505" t="n"/>
      <c r="CR60" s="1505" t="n"/>
      <c r="CS60" s="1505" t="n"/>
      <c r="CT60" s="1505" t="n"/>
      <c r="CU60" s="1505" t="n"/>
      <c r="CV60" s="1505" t="n"/>
      <c r="CW60" s="1505" t="n"/>
      <c r="CX60" s="1505" t="n"/>
      <c r="CY60" s="1505" t="n"/>
      <c r="CZ60" s="1505" t="n"/>
      <c r="DA60" s="1505" t="n"/>
      <c r="DB60" s="1505" t="n"/>
      <c r="DC60" s="1507">
        <f>SUM(CQ60:DB60)</f>
        <v/>
      </c>
      <c r="DD60" s="1505" t="n"/>
      <c r="DE60" s="1505" t="n"/>
      <c r="DF60" s="1505" t="n"/>
      <c r="DG60" s="1505" t="n"/>
      <c r="DH60" s="1505" t="n"/>
      <c r="DI60" s="1505" t="n"/>
      <c r="DJ60" s="1505" t="n"/>
      <c r="DK60" s="1505" t="n"/>
      <c r="DL60" s="1505" t="n"/>
      <c r="DM60" s="1505" t="n"/>
      <c r="DN60" s="1505" t="n"/>
      <c r="DO60" s="1505" t="n"/>
      <c r="DP60" s="1507">
        <f>SUM(DD60:DO60)</f>
        <v/>
      </c>
    </row>
    <row r="61">
      <c r="B61" s="724" t="n"/>
      <c r="C61" s="1505" t="n"/>
      <c r="D61" s="1505" t="n"/>
      <c r="E61" s="1505" t="n"/>
      <c r="F61" s="1505" t="n"/>
      <c r="G61" s="1505" t="n"/>
      <c r="H61" s="1505" t="n"/>
      <c r="I61" s="1505" t="n"/>
      <c r="J61" s="1505" t="n"/>
      <c r="K61" s="1505" t="n"/>
      <c r="L61" s="1505" t="n"/>
      <c r="M61" s="1505" t="n"/>
      <c r="N61" s="1505" t="n"/>
      <c r="O61" s="1505" t="n"/>
      <c r="P61" s="1507">
        <f>SUM(C61:O61)</f>
        <v/>
      </c>
      <c r="Q61" s="1505" t="n"/>
      <c r="R61" s="1505" t="n"/>
      <c r="S61" s="1505" t="n"/>
      <c r="T61" s="1505" t="n"/>
      <c r="U61" s="1505" t="n"/>
      <c r="V61" s="1505" t="n"/>
      <c r="W61" s="1505" t="n"/>
      <c r="X61" s="1505" t="n"/>
      <c r="Y61" s="1505" t="n"/>
      <c r="Z61" s="1505" t="n"/>
      <c r="AA61" s="1505" t="n"/>
      <c r="AB61" s="1505" t="n"/>
      <c r="AC61" s="1507">
        <f>SUM(Q61:AB61)</f>
        <v/>
      </c>
      <c r="AD61" s="1505" t="n"/>
      <c r="AE61" s="1505" t="n"/>
      <c r="AF61" s="1505" t="n"/>
      <c r="AG61" s="1505" t="n"/>
      <c r="AH61" s="1505" t="n"/>
      <c r="AI61" s="1505" t="n"/>
      <c r="AJ61" s="1505" t="n"/>
      <c r="AK61" s="1505" t="n"/>
      <c r="AL61" s="1505" t="n"/>
      <c r="AM61" s="1505" t="n"/>
      <c r="AN61" s="1505" t="n"/>
      <c r="AO61" s="1505" t="n"/>
      <c r="AP61" s="1507">
        <f>SUM(AD61:AO61)</f>
        <v/>
      </c>
      <c r="AQ61" s="1505" t="n"/>
      <c r="AR61" s="1505" t="n"/>
      <c r="AS61" s="1505" t="n"/>
      <c r="AT61" s="1505" t="n"/>
      <c r="AU61" s="1505" t="n"/>
      <c r="AV61" s="1505" t="n"/>
      <c r="AW61" s="1505" t="n"/>
      <c r="AX61" s="1505" t="n"/>
      <c r="AY61" s="1505" t="n"/>
      <c r="AZ61" s="1505" t="n"/>
      <c r="BA61" s="1505" t="n"/>
      <c r="BB61" s="1505" t="n"/>
      <c r="BC61" s="1507">
        <f>SUM(AQ61:BB61)</f>
        <v/>
      </c>
      <c r="BD61" s="1505" t="n"/>
      <c r="BE61" s="1505" t="n"/>
      <c r="BF61" s="1505" t="n"/>
      <c r="BG61" s="1505" t="n"/>
      <c r="BH61" s="1505" t="n"/>
      <c r="BI61" s="1505" t="n"/>
      <c r="BJ61" s="1505" t="n"/>
      <c r="BK61" s="1505" t="n"/>
      <c r="BL61" s="1505" t="n"/>
      <c r="BM61" s="1505" t="n"/>
      <c r="BN61" s="1505" t="n"/>
      <c r="BO61" s="1505" t="n"/>
      <c r="BP61" s="1507">
        <f>SUM(BD61:BO61)</f>
        <v/>
      </c>
      <c r="BQ61" s="1505" t="n"/>
      <c r="BR61" s="1505" t="n"/>
      <c r="BS61" s="1505" t="n"/>
      <c r="BT61" s="1505" t="n"/>
      <c r="BU61" s="1505" t="n"/>
      <c r="BV61" s="1505" t="n"/>
      <c r="BW61" s="1505" t="n"/>
      <c r="BX61" s="1505" t="n"/>
      <c r="BY61" s="1505" t="n"/>
      <c r="BZ61" s="1505" t="n"/>
      <c r="CA61" s="1505" t="n"/>
      <c r="CB61" s="1505" t="n"/>
      <c r="CC61" s="1507">
        <f>SUM(BQ61:CB61)</f>
        <v/>
      </c>
      <c r="CD61" s="1505" t="n"/>
      <c r="CE61" s="1505" t="n"/>
      <c r="CF61" s="1505" t="n"/>
      <c r="CG61" s="1505" t="n"/>
      <c r="CH61" s="1505" t="n"/>
      <c r="CI61" s="1505" t="n"/>
      <c r="CJ61" s="1505" t="n"/>
      <c r="CK61" s="1505" t="n"/>
      <c r="CL61" s="1505" t="n"/>
      <c r="CM61" s="1505" t="n"/>
      <c r="CN61" s="1505" t="n"/>
      <c r="CO61" s="1505" t="n"/>
      <c r="CP61" s="1507">
        <f>SUM(CD61:CO61)</f>
        <v/>
      </c>
      <c r="CQ61" s="1505" t="n"/>
      <c r="CR61" s="1505" t="n"/>
      <c r="CS61" s="1505" t="n"/>
      <c r="CT61" s="1505" t="n"/>
      <c r="CU61" s="1505" t="n"/>
      <c r="CV61" s="1505" t="n"/>
      <c r="CW61" s="1505" t="n"/>
      <c r="CX61" s="1505" t="n"/>
      <c r="CY61" s="1505" t="n"/>
      <c r="CZ61" s="1505" t="n"/>
      <c r="DA61" s="1505" t="n"/>
      <c r="DB61" s="1505" t="n"/>
      <c r="DC61" s="1507">
        <f>SUM(CQ61:DB61)</f>
        <v/>
      </c>
      <c r="DD61" s="1505" t="n"/>
      <c r="DE61" s="1505" t="n"/>
      <c r="DF61" s="1505" t="n"/>
      <c r="DG61" s="1505" t="n"/>
      <c r="DH61" s="1505" t="n"/>
      <c r="DI61" s="1505" t="n"/>
      <c r="DJ61" s="1505" t="n"/>
      <c r="DK61" s="1505" t="n"/>
      <c r="DL61" s="1505" t="n"/>
      <c r="DM61" s="1505" t="n"/>
      <c r="DN61" s="1505" t="n"/>
      <c r="DO61" s="1505" t="n"/>
      <c r="DP61" s="1507">
        <f>SUM(DD61:DO61)</f>
        <v/>
      </c>
    </row>
    <row r="62" hidden="1">
      <c r="B62" s="724" t="n"/>
      <c r="C62" s="1505" t="n"/>
      <c r="D62" s="1505" t="n"/>
      <c r="E62" s="1505" t="n"/>
      <c r="F62" s="1505" t="n"/>
      <c r="G62" s="1505" t="n"/>
      <c r="H62" s="1505" t="n"/>
      <c r="I62" s="1505" t="n"/>
      <c r="J62" s="1505" t="n"/>
      <c r="K62" s="1505" t="n"/>
      <c r="L62" s="1505" t="n"/>
      <c r="M62" s="1505" t="n"/>
      <c r="N62" s="1505" t="n"/>
      <c r="O62" s="1505" t="n"/>
      <c r="P62" s="1507" t="n"/>
      <c r="Q62" s="1505" t="n"/>
      <c r="R62" s="1505" t="n"/>
      <c r="S62" s="1505" t="n"/>
      <c r="T62" s="1505" t="n"/>
      <c r="U62" s="1505" t="n"/>
      <c r="V62" s="1505" t="n"/>
      <c r="W62" s="1505" t="n"/>
      <c r="X62" s="1505" t="n"/>
      <c r="Y62" s="1505" t="n"/>
      <c r="Z62" s="1505" t="n"/>
      <c r="AA62" s="1505" t="n"/>
      <c r="AB62" s="1505" t="n"/>
      <c r="AC62" s="1507" t="n"/>
      <c r="AD62" s="1505" t="n"/>
      <c r="AE62" s="1505" t="n"/>
      <c r="AF62" s="1505" t="n"/>
      <c r="AG62" s="1505" t="n"/>
      <c r="AH62" s="1505" t="n"/>
      <c r="AI62" s="1505" t="n"/>
      <c r="AJ62" s="1505" t="n"/>
      <c r="AK62" s="1505" t="n"/>
      <c r="AL62" s="1505" t="n"/>
      <c r="AM62" s="1505" t="n"/>
      <c r="AN62" s="1505" t="n"/>
      <c r="AO62" s="1505" t="n"/>
      <c r="AP62" s="1507" t="n"/>
      <c r="AQ62" s="1505" t="n"/>
      <c r="AR62" s="1505" t="n"/>
      <c r="AS62" s="1505" t="n"/>
      <c r="AT62" s="1505" t="n"/>
      <c r="AU62" s="1505" t="n"/>
      <c r="AV62" s="1505" t="n"/>
      <c r="AW62" s="1505" t="n"/>
      <c r="AX62" s="1505" t="n"/>
      <c r="AY62" s="1505" t="n"/>
      <c r="AZ62" s="1505" t="n"/>
      <c r="BA62" s="1505" t="n"/>
      <c r="BB62" s="1505" t="n"/>
      <c r="BC62" s="1507" t="n"/>
      <c r="BD62" s="1505" t="n"/>
      <c r="BE62" s="1505" t="n"/>
      <c r="BF62" s="1505" t="n"/>
      <c r="BG62" s="1505" t="n"/>
      <c r="BH62" s="1505" t="n"/>
      <c r="BI62" s="1505" t="n"/>
      <c r="BJ62" s="1505" t="n"/>
      <c r="BK62" s="1505" t="n"/>
      <c r="BL62" s="1505" t="n"/>
      <c r="BM62" s="1505" t="n"/>
      <c r="BN62" s="1505" t="n"/>
      <c r="BO62" s="1505" t="n"/>
      <c r="BP62" s="1507" t="n"/>
      <c r="BQ62" s="1505" t="n"/>
      <c r="BR62" s="1505" t="n"/>
      <c r="BS62" s="1505" t="n"/>
      <c r="BT62" s="1505" t="n"/>
      <c r="BU62" s="1505" t="n"/>
      <c r="BV62" s="1505" t="n"/>
      <c r="BW62" s="1505" t="n"/>
      <c r="BX62" s="1505" t="n"/>
      <c r="BY62" s="1505" t="n"/>
      <c r="BZ62" s="1505" t="n"/>
      <c r="CA62" s="1505" t="n"/>
      <c r="CB62" s="1505" t="n"/>
      <c r="CC62" s="1507" t="n"/>
      <c r="CD62" s="1505" t="n"/>
      <c r="CE62" s="1505" t="n"/>
      <c r="CF62" s="1505" t="n"/>
      <c r="CG62" s="1505" t="n"/>
      <c r="CH62" s="1505" t="n"/>
      <c r="CI62" s="1505" t="n"/>
      <c r="CJ62" s="1505" t="n"/>
      <c r="CK62" s="1505" t="n"/>
      <c r="CL62" s="1505" t="n"/>
      <c r="CM62" s="1505" t="n"/>
      <c r="CN62" s="1505" t="n"/>
      <c r="CO62" s="1505" t="n"/>
      <c r="CP62" s="1507" t="n"/>
      <c r="CQ62" s="1505" t="n"/>
      <c r="CR62" s="1505" t="n"/>
      <c r="CS62" s="1505" t="n"/>
      <c r="CT62" s="1505" t="n"/>
      <c r="CU62" s="1505" t="n"/>
      <c r="CV62" s="1505" t="n"/>
      <c r="CW62" s="1505" t="n"/>
      <c r="CX62" s="1505" t="n"/>
      <c r="CY62" s="1505" t="n"/>
      <c r="CZ62" s="1505" t="n"/>
      <c r="DA62" s="1505" t="n"/>
      <c r="DB62" s="1505" t="n"/>
      <c r="DC62" s="1507" t="n"/>
      <c r="DD62" s="1505" t="n"/>
      <c r="DE62" s="1505" t="n"/>
      <c r="DF62" s="1505" t="n"/>
      <c r="DG62" s="1505" t="n"/>
      <c r="DH62" s="1505" t="n"/>
      <c r="DI62" s="1505" t="n"/>
      <c r="DJ62" s="1505" t="n"/>
      <c r="DK62" s="1505" t="n"/>
      <c r="DL62" s="1505" t="n"/>
      <c r="DM62" s="1505" t="n"/>
      <c r="DN62" s="1505" t="n"/>
      <c r="DO62" s="1505" t="n"/>
      <c r="DP62" s="1507" t="n"/>
    </row>
    <row r="63">
      <c r="B63" s="736" t="n"/>
      <c r="C63" s="1550">
        <f>SUM(C49:C62)</f>
        <v/>
      </c>
      <c r="D63" s="1550">
        <f>SUM(D49:D62)</f>
        <v/>
      </c>
      <c r="E63" s="1550">
        <f>SUM(E49:E62)</f>
        <v/>
      </c>
      <c r="F63" s="1550">
        <f>SUM(F49:F62)</f>
        <v/>
      </c>
      <c r="G63" s="1550">
        <f>SUM(G49:G62)</f>
        <v/>
      </c>
      <c r="H63" s="1550">
        <f>SUM(H49:H62)</f>
        <v/>
      </c>
      <c r="I63" s="1550">
        <f>SUM(I49:I62)</f>
        <v/>
      </c>
      <c r="J63" s="1550">
        <f>SUM(J49:J62)</f>
        <v/>
      </c>
      <c r="K63" s="1550">
        <f>SUM(K49:K62)</f>
        <v/>
      </c>
      <c r="L63" s="1550">
        <f>SUM(L49:L62)</f>
        <v/>
      </c>
      <c r="M63" s="1550">
        <f>SUM(M49:M62)</f>
        <v/>
      </c>
      <c r="N63" s="1550">
        <f>SUM(N49:N62)</f>
        <v/>
      </c>
      <c r="O63" s="1550">
        <f>SUM(O49:O62)</f>
        <v/>
      </c>
      <c r="P63" s="1507">
        <f>SUM(C63:O63)</f>
        <v/>
      </c>
      <c r="Q63" s="1550">
        <f>SUM(Q49:Q62)</f>
        <v/>
      </c>
      <c r="R63" s="1550">
        <f>SUM(R49:R62)</f>
        <v/>
      </c>
      <c r="S63" s="1550">
        <f>SUM(S49:S62)</f>
        <v/>
      </c>
      <c r="T63" s="1550">
        <f>SUM(T49:T62)</f>
        <v/>
      </c>
      <c r="U63" s="1550">
        <f>SUM(U49:U62)</f>
        <v/>
      </c>
      <c r="V63" s="1550">
        <f>SUM(V49:V62)</f>
        <v/>
      </c>
      <c r="W63" s="1550">
        <f>SUM(W49:W62)</f>
        <v/>
      </c>
      <c r="X63" s="1550">
        <f>SUM(X49:X62)</f>
        <v/>
      </c>
      <c r="Y63" s="1550">
        <f>SUM(Y49:Y62)</f>
        <v/>
      </c>
      <c r="Z63" s="1550">
        <f>SUM(Z49:Z62)</f>
        <v/>
      </c>
      <c r="AA63" s="1550">
        <f>SUM(AA49:AA62)</f>
        <v/>
      </c>
      <c r="AB63" s="1550">
        <f>SUM(AB49:AB62)</f>
        <v/>
      </c>
      <c r="AC63" s="1507">
        <f>SUM(Q63:AB63)</f>
        <v/>
      </c>
      <c r="AD63" s="1550">
        <f>SUM(AD49:AD62)</f>
        <v/>
      </c>
      <c r="AE63" s="1550">
        <f>SUM(AE49:AE62)</f>
        <v/>
      </c>
      <c r="AF63" s="1550">
        <f>SUM(AF49:AF62)</f>
        <v/>
      </c>
      <c r="AG63" s="1550">
        <f>SUM(AG49:AG62)</f>
        <v/>
      </c>
      <c r="AH63" s="1550">
        <f>SUM(AH49:AH62)</f>
        <v/>
      </c>
      <c r="AI63" s="1550">
        <f>SUM(AI49:AI62)</f>
        <v/>
      </c>
      <c r="AJ63" s="1550">
        <f>SUM(AJ49:AJ62)</f>
        <v/>
      </c>
      <c r="AK63" s="1550">
        <f>SUM(AK49:AK62)</f>
        <v/>
      </c>
      <c r="AL63" s="1550">
        <f>SUM(AL49:AL62)</f>
        <v/>
      </c>
      <c r="AM63" s="1550">
        <f>SUM(AM49:AM62)</f>
        <v/>
      </c>
      <c r="AN63" s="1550">
        <f>SUM(AN49:AN62)</f>
        <v/>
      </c>
      <c r="AO63" s="1550">
        <f>SUM(AO49:AO62)</f>
        <v/>
      </c>
      <c r="AP63" s="1507">
        <f>SUM(AD63:AO63)</f>
        <v/>
      </c>
      <c r="AQ63" s="1550">
        <f>SUM(AQ49:AQ62)</f>
        <v/>
      </c>
      <c r="AR63" s="1550">
        <f>SUM(AR49:AR62)</f>
        <v/>
      </c>
      <c r="AS63" s="1550">
        <f>SUM(AS49:AS62)</f>
        <v/>
      </c>
      <c r="AT63" s="1550">
        <f>SUM(AT49:AT62)</f>
        <v/>
      </c>
      <c r="AU63" s="1550">
        <f>SUM(AU49:AU62)</f>
        <v/>
      </c>
      <c r="AV63" s="1550">
        <f>SUM(AV49:AV62)</f>
        <v/>
      </c>
      <c r="AW63" s="1550">
        <f>SUM(AW49:AW62)</f>
        <v/>
      </c>
      <c r="AX63" s="1550">
        <f>SUM(AX49:AX62)</f>
        <v/>
      </c>
      <c r="AY63" s="1550">
        <f>SUM(AY49:AY62)</f>
        <v/>
      </c>
      <c r="AZ63" s="1550">
        <f>SUM(AZ49:AZ62)</f>
        <v/>
      </c>
      <c r="BA63" s="1550">
        <f>SUM(BA49:BA62)</f>
        <v/>
      </c>
      <c r="BB63" s="1550">
        <f>SUM(BB49:BB62)</f>
        <v/>
      </c>
      <c r="BC63" s="1507">
        <f>SUM(AQ63:BB63)</f>
        <v/>
      </c>
      <c r="BD63" s="1550">
        <f>SUM(BD49:BD62)</f>
        <v/>
      </c>
      <c r="BE63" s="1550">
        <f>SUM(BE49:BE62)</f>
        <v/>
      </c>
      <c r="BF63" s="1550">
        <f>SUM(BF49:BF62)</f>
        <v/>
      </c>
      <c r="BG63" s="1550">
        <f>SUM(BG49:BG62)</f>
        <v/>
      </c>
      <c r="BH63" s="1550">
        <f>SUM(BH49:BH62)</f>
        <v/>
      </c>
      <c r="BI63" s="1550">
        <f>SUM(BI49:BI62)</f>
        <v/>
      </c>
      <c r="BJ63" s="1550">
        <f>SUM(BJ49:BJ62)</f>
        <v/>
      </c>
      <c r="BK63" s="1550">
        <f>SUM(BK49:BK62)</f>
        <v/>
      </c>
      <c r="BL63" s="1550">
        <f>SUM(BL49:BL62)</f>
        <v/>
      </c>
      <c r="BM63" s="1550">
        <f>SUM(BM49:BM62)</f>
        <v/>
      </c>
      <c r="BN63" s="1550">
        <f>SUM(BN49:BN62)</f>
        <v/>
      </c>
      <c r="BO63" s="1550">
        <f>SUM(BO49:BO62)</f>
        <v/>
      </c>
      <c r="BP63" s="1507">
        <f>SUM(BD63:BO63)</f>
        <v/>
      </c>
      <c r="BQ63" s="1550">
        <f>SUM(BQ49:BQ62)</f>
        <v/>
      </c>
      <c r="BR63" s="1550">
        <f>SUM(BR49:BR62)</f>
        <v/>
      </c>
      <c r="BS63" s="1550">
        <f>SUM(BS49:BS62)</f>
        <v/>
      </c>
      <c r="BT63" s="1550">
        <f>SUM(BT49:BT62)</f>
        <v/>
      </c>
      <c r="BU63" s="1550">
        <f>SUM(BU49:BU62)</f>
        <v/>
      </c>
      <c r="BV63" s="1550">
        <f>SUM(BV49:BV62)</f>
        <v/>
      </c>
      <c r="BW63" s="1550">
        <f>SUM(BW49:BW62)</f>
        <v/>
      </c>
      <c r="BX63" s="1550">
        <f>SUM(BX49:BX62)</f>
        <v/>
      </c>
      <c r="BY63" s="1550">
        <f>SUM(BY49:BY62)</f>
        <v/>
      </c>
      <c r="BZ63" s="1550">
        <f>SUM(BZ49:BZ62)</f>
        <v/>
      </c>
      <c r="CA63" s="1550">
        <f>SUM(CA49:CA62)</f>
        <v/>
      </c>
      <c r="CB63" s="1550">
        <f>SUM(CB49:CB62)</f>
        <v/>
      </c>
      <c r="CC63" s="1507">
        <f>SUM(BQ63:CB63)</f>
        <v/>
      </c>
      <c r="CD63" s="1550">
        <f>SUM(CD49:CD62)</f>
        <v/>
      </c>
      <c r="CE63" s="1550">
        <f>SUM(CE49:CE62)</f>
        <v/>
      </c>
      <c r="CF63" s="1550">
        <f>SUM(CF49:CF62)</f>
        <v/>
      </c>
      <c r="CG63" s="1550">
        <f>SUM(CG49:CG62)</f>
        <v/>
      </c>
      <c r="CH63" s="1550">
        <f>SUM(CH49:CH62)</f>
        <v/>
      </c>
      <c r="CI63" s="1550">
        <f>SUM(CI49:CI62)</f>
        <v/>
      </c>
      <c r="CJ63" s="1550">
        <f>SUM(CJ49:CJ62)</f>
        <v/>
      </c>
      <c r="CK63" s="1550">
        <f>SUM(CK49:CK62)</f>
        <v/>
      </c>
      <c r="CL63" s="1550">
        <f>SUM(CL49:CL62)</f>
        <v/>
      </c>
      <c r="CM63" s="1550">
        <f>SUM(CM49:CM62)</f>
        <v/>
      </c>
      <c r="CN63" s="1550">
        <f>SUM(CN49:CN62)</f>
        <v/>
      </c>
      <c r="CO63" s="1550">
        <f>SUM(CO49:CO62)</f>
        <v/>
      </c>
      <c r="CP63" s="1507">
        <f>SUM(CD63:CO63)</f>
        <v/>
      </c>
      <c r="CQ63" s="1550">
        <f>SUM(CQ49:CQ62)</f>
        <v/>
      </c>
      <c r="CR63" s="1550">
        <f>SUM(CR49:CR62)</f>
        <v/>
      </c>
      <c r="CS63" s="1550">
        <f>SUM(CS49:CS62)</f>
        <v/>
      </c>
      <c r="CT63" s="1550">
        <f>SUM(CT49:CT62)</f>
        <v/>
      </c>
      <c r="CU63" s="1550">
        <f>SUM(CU49:CU62)</f>
        <v/>
      </c>
      <c r="CV63" s="1550">
        <f>SUM(CV49:CV62)</f>
        <v/>
      </c>
      <c r="CW63" s="1550">
        <f>SUM(CW49:CW62)</f>
        <v/>
      </c>
      <c r="CX63" s="1550">
        <f>SUM(CX49:CX62)</f>
        <v/>
      </c>
      <c r="CY63" s="1550">
        <f>SUM(CY49:CY62)</f>
        <v/>
      </c>
      <c r="CZ63" s="1550">
        <f>SUM(CZ49:CZ62)</f>
        <v/>
      </c>
      <c r="DA63" s="1550">
        <f>SUM(DA49:DA62)</f>
        <v/>
      </c>
      <c r="DB63" s="1550">
        <f>SUM(DB49:DB62)</f>
        <v/>
      </c>
      <c r="DC63" s="1507">
        <f>SUM(CQ63:DB63)</f>
        <v/>
      </c>
      <c r="DD63" s="1550">
        <f>SUM(DD49:DD62)</f>
        <v/>
      </c>
      <c r="DE63" s="1550">
        <f>SUM(DE49:DE62)</f>
        <v/>
      </c>
      <c r="DF63" s="1550">
        <f>SUM(DF49:DF62)</f>
        <v/>
      </c>
      <c r="DG63" s="1550">
        <f>SUM(DG49:DG62)</f>
        <v/>
      </c>
      <c r="DH63" s="1550">
        <f>SUM(DH49:DH62)</f>
        <v/>
      </c>
      <c r="DI63" s="1550">
        <f>SUM(DI49:DI62)</f>
        <v/>
      </c>
      <c r="DJ63" s="1550">
        <f>SUM(DJ49:DJ62)</f>
        <v/>
      </c>
      <c r="DK63" s="1550">
        <f>SUM(DK49:DK62)</f>
        <v/>
      </c>
      <c r="DL63" s="1550">
        <f>SUM(DL49:DL62)</f>
        <v/>
      </c>
      <c r="DM63" s="1550">
        <f>SUM(DM49:DM62)</f>
        <v/>
      </c>
      <c r="DN63" s="1550">
        <f>SUM(DN49:DN62)</f>
        <v/>
      </c>
      <c r="DO63" s="1550">
        <f>SUM(DO49:DO62)</f>
        <v/>
      </c>
      <c r="DP63" s="1507">
        <f>SUM(DD63:DO63)</f>
        <v/>
      </c>
    </row>
    <row r="64">
      <c r="C64" s="1508" t="n"/>
      <c r="D64" s="1508" t="n"/>
      <c r="E64" s="1508" t="n"/>
      <c r="F64" s="1508" t="n"/>
      <c r="G64" s="1508" t="n"/>
      <c r="H64" s="1508" t="n"/>
      <c r="I64" s="1508" t="n"/>
      <c r="J64" s="1508" t="n"/>
      <c r="K64" s="1508" t="n"/>
      <c r="L64" s="1508" t="n"/>
      <c r="M64" s="1508" t="n"/>
      <c r="N64" s="1508" t="n"/>
      <c r="O64" s="1508" t="n"/>
      <c r="P64" s="1508" t="n"/>
      <c r="Q64" s="1508" t="n"/>
      <c r="R64" s="1508" t="n"/>
      <c r="S64" s="1508" t="n"/>
      <c r="T64" s="1508" t="n"/>
      <c r="U64" s="1508" t="n"/>
      <c r="V64" s="1508" t="n"/>
      <c r="W64" s="1508" t="n"/>
      <c r="X64" s="1508" t="n"/>
      <c r="Y64" s="1508" t="n"/>
      <c r="Z64" s="1508" t="n"/>
      <c r="AA64" s="1508" t="n"/>
      <c r="AB64" s="1508" t="n"/>
      <c r="AC64" s="1508" t="n"/>
      <c r="AD64" s="1508" t="n"/>
      <c r="AE64" s="1508" t="n"/>
      <c r="AF64" s="1508" t="n"/>
      <c r="AG64" s="1508" t="n"/>
      <c r="AH64" s="1508" t="n"/>
      <c r="AI64" s="1508" t="n"/>
      <c r="AJ64" s="1508" t="n"/>
      <c r="AK64" s="1508" t="n"/>
      <c r="AL64" s="1508" t="n"/>
      <c r="AM64" s="1508" t="n"/>
      <c r="AN64" s="1508" t="n"/>
      <c r="AO64" s="1508" t="n"/>
      <c r="AP64" s="1508" t="n"/>
      <c r="AQ64" s="1508" t="n"/>
      <c r="AR64" s="1508" t="n"/>
      <c r="AS64" s="1508" t="n"/>
      <c r="AT64" s="1508" t="n"/>
      <c r="AU64" s="1508" t="n"/>
      <c r="AV64" s="1508" t="n"/>
      <c r="AW64" s="1508" t="n"/>
      <c r="AX64" s="1508" t="n"/>
      <c r="AY64" s="1508" t="n"/>
      <c r="AZ64" s="1508" t="n"/>
      <c r="BA64" s="1508" t="n"/>
      <c r="BB64" s="1508" t="n"/>
      <c r="BC64" s="1508" t="n"/>
      <c r="BD64" s="1508" t="n"/>
      <c r="BE64" s="1508" t="n"/>
      <c r="BF64" s="1508" t="n"/>
      <c r="BG64" s="1508" t="n"/>
      <c r="BH64" s="1508" t="n"/>
      <c r="BI64" s="1508" t="n"/>
      <c r="BJ64" s="1508" t="n"/>
      <c r="BK64" s="1508" t="n"/>
      <c r="BL64" s="1508" t="n"/>
      <c r="BM64" s="1508" t="n"/>
      <c r="BN64" s="1508" t="n"/>
      <c r="BO64" s="1508" t="n"/>
      <c r="BP64" s="1508" t="n"/>
      <c r="BQ64" s="1508" t="n"/>
      <c r="BR64" s="1508" t="n"/>
      <c r="BS64" s="1508" t="n"/>
      <c r="BT64" s="1508" t="n"/>
      <c r="BU64" s="1508" t="n"/>
      <c r="BV64" s="1508" t="n"/>
      <c r="BW64" s="1508" t="n"/>
      <c r="BX64" s="1508" t="n"/>
      <c r="BY64" s="1508" t="n"/>
      <c r="BZ64" s="1508" t="n"/>
      <c r="CA64" s="1508" t="n"/>
      <c r="CB64" s="1508" t="n"/>
      <c r="CC64" s="1508" t="n"/>
      <c r="CD64" s="1508" t="n"/>
      <c r="CE64" s="1508" t="n"/>
      <c r="CF64" s="1508" t="n"/>
      <c r="CG64" s="1508" t="n"/>
      <c r="CH64" s="1508" t="n"/>
      <c r="CI64" s="1508" t="n"/>
      <c r="CJ64" s="1508" t="n"/>
      <c r="CK64" s="1508" t="n"/>
      <c r="CL64" s="1508" t="n"/>
      <c r="CM64" s="1508" t="n"/>
      <c r="CN64" s="1508" t="n"/>
      <c r="CO64" s="1508" t="n"/>
      <c r="CP64" s="1508" t="n"/>
      <c r="CQ64" s="1508" t="n"/>
      <c r="CR64" s="1508" t="n"/>
      <c r="CS64" s="1508" t="n"/>
      <c r="CT64" s="1508" t="n"/>
      <c r="CU64" s="1508" t="n"/>
      <c r="CV64" s="1508" t="n"/>
      <c r="CW64" s="1508" t="n"/>
      <c r="CX64" s="1508" t="n"/>
      <c r="CY64" s="1508" t="n"/>
      <c r="CZ64" s="1508" t="n"/>
      <c r="DA64" s="1508" t="n"/>
      <c r="DB64" s="1508" t="n"/>
      <c r="DC64" s="1508" t="n"/>
      <c r="DD64" s="1508" t="n"/>
      <c r="DE64" s="1508" t="n"/>
      <c r="DF64" s="1508" t="n"/>
      <c r="DG64" s="1508" t="n"/>
      <c r="DH64" s="1508" t="n"/>
      <c r="DI64" s="1508" t="n"/>
      <c r="DJ64" s="1508" t="n"/>
      <c r="DK64" s="1508" t="n"/>
      <c r="DL64" s="1508" t="n"/>
      <c r="DM64" s="1508" t="n"/>
      <c r="DN64" s="1508" t="n"/>
      <c r="DO64" s="1508" t="n"/>
      <c r="DP64" s="1508" t="n"/>
    </row>
    <row r="65">
      <c r="B65" s="730" t="n"/>
      <c r="C65" s="1509">
        <f>C38-C46-C63</f>
        <v/>
      </c>
      <c r="D65" s="1509">
        <f>D38-D46-D63</f>
        <v/>
      </c>
      <c r="E65" s="1509">
        <f>E38-E46-E63</f>
        <v/>
      </c>
      <c r="F65" s="1509">
        <f>F38-F46-F63</f>
        <v/>
      </c>
      <c r="G65" s="1509">
        <f>G38-G46-G63</f>
        <v/>
      </c>
      <c r="H65" s="1509">
        <f>H38-H46-H63</f>
        <v/>
      </c>
      <c r="I65" s="1509">
        <f>I38-I46-I63</f>
        <v/>
      </c>
      <c r="J65" s="1509">
        <f>J38-J46-J63</f>
        <v/>
      </c>
      <c r="K65" s="1509">
        <f>K38-K46-K63</f>
        <v/>
      </c>
      <c r="L65" s="1509">
        <f>L38-L46-L63</f>
        <v/>
      </c>
      <c r="M65" s="1509">
        <f>M38-M46-M63</f>
        <v/>
      </c>
      <c r="N65" s="1509">
        <f>N38-N46-N63</f>
        <v/>
      </c>
      <c r="O65" s="1509">
        <f>O38-O46-O63</f>
        <v/>
      </c>
      <c r="P65" s="1509">
        <f>P38-P46-P63</f>
        <v/>
      </c>
      <c r="Q65" s="1509">
        <f>Q38-Q46-Q63</f>
        <v/>
      </c>
      <c r="R65" s="1509">
        <f>R38-R46-R63</f>
        <v/>
      </c>
      <c r="S65" s="1509">
        <f>S38-S46-S63</f>
        <v/>
      </c>
      <c r="T65" s="1509">
        <f>T38-T46-T63</f>
        <v/>
      </c>
      <c r="U65" s="1509">
        <f>U38-U46-U63</f>
        <v/>
      </c>
      <c r="V65" s="1509">
        <f>V38-V46-V63</f>
        <v/>
      </c>
      <c r="W65" s="1509">
        <f>W38-W46-W63</f>
        <v/>
      </c>
      <c r="X65" s="1509">
        <f>X38-X46-X63</f>
        <v/>
      </c>
      <c r="Y65" s="1509">
        <f>Y38-Y46-Y63</f>
        <v/>
      </c>
      <c r="Z65" s="1509">
        <f>Z38-Z46-Z63</f>
        <v/>
      </c>
      <c r="AA65" s="1509">
        <f>AA38-AA46-AA63</f>
        <v/>
      </c>
      <c r="AB65" s="1509">
        <f>AB38-AB46-AB63</f>
        <v/>
      </c>
      <c r="AC65" s="1509">
        <f>AC38-AC46-AC63</f>
        <v/>
      </c>
      <c r="AD65" s="1509">
        <f>AD38-AD46-AD63</f>
        <v/>
      </c>
      <c r="AE65" s="1509">
        <f>AE38-AE46-AE63</f>
        <v/>
      </c>
      <c r="AF65" s="1509">
        <f>AF38-AF46-AF63</f>
        <v/>
      </c>
      <c r="AG65" s="1509">
        <f>AG38-AG46-AG63</f>
        <v/>
      </c>
      <c r="AH65" s="1509">
        <f>AH38-AH46-AH63</f>
        <v/>
      </c>
      <c r="AI65" s="1509">
        <f>AI38-AI46-AI63</f>
        <v/>
      </c>
      <c r="AJ65" s="1509">
        <f>AJ38-AJ46-AJ63</f>
        <v/>
      </c>
      <c r="AK65" s="1509">
        <f>AK38-AK46-AK63</f>
        <v/>
      </c>
      <c r="AL65" s="1509">
        <f>AL38-AL46-AL63</f>
        <v/>
      </c>
      <c r="AM65" s="1509">
        <f>AM38-AM46-AM63</f>
        <v/>
      </c>
      <c r="AN65" s="1509">
        <f>AN38-AN46-AN63</f>
        <v/>
      </c>
      <c r="AO65" s="1509">
        <f>AO38-AO46-AO63</f>
        <v/>
      </c>
      <c r="AP65" s="1509">
        <f>AP38-AP46-AP63</f>
        <v/>
      </c>
      <c r="AQ65" s="1509">
        <f>AQ38-AQ46-AQ63</f>
        <v/>
      </c>
      <c r="AR65" s="1509">
        <f>AR38-AR46-AR63</f>
        <v/>
      </c>
      <c r="AS65" s="1509">
        <f>AS38-AS46-AS63</f>
        <v/>
      </c>
      <c r="AT65" s="1509">
        <f>AT38-AT46-AT63</f>
        <v/>
      </c>
      <c r="AU65" s="1509">
        <f>AU38-AU46-AU63</f>
        <v/>
      </c>
      <c r="AV65" s="1509">
        <f>AV38-AV46-AV63</f>
        <v/>
      </c>
      <c r="AW65" s="1509">
        <f>AW38-AW46-AW63</f>
        <v/>
      </c>
      <c r="AX65" s="1509">
        <f>AX38-AX46-AX63</f>
        <v/>
      </c>
      <c r="AY65" s="1509">
        <f>AY38-AY46-AY63</f>
        <v/>
      </c>
      <c r="AZ65" s="1509">
        <f>AZ38-AZ46-AZ63</f>
        <v/>
      </c>
      <c r="BA65" s="1509">
        <f>BA38-BA46-BA63</f>
        <v/>
      </c>
      <c r="BB65" s="1509">
        <f>BB38-BB46-BB63</f>
        <v/>
      </c>
      <c r="BC65" s="1509">
        <f>BC38-BC46-BC63</f>
        <v/>
      </c>
      <c r="BD65" s="1509">
        <f>BD38-BD46-BD63</f>
        <v/>
      </c>
      <c r="BE65" s="1509">
        <f>BE38-BE46-BE63</f>
        <v/>
      </c>
      <c r="BF65" s="1509">
        <f>BF38-BF46-BF63</f>
        <v/>
      </c>
      <c r="BG65" s="1509">
        <f>BG38-BG46-BG63</f>
        <v/>
      </c>
      <c r="BH65" s="1509">
        <f>BH38-BH46-BH63</f>
        <v/>
      </c>
      <c r="BI65" s="1509">
        <f>BI38-BI46-BI63</f>
        <v/>
      </c>
      <c r="BJ65" s="1509">
        <f>BJ38-BJ46-BJ63</f>
        <v/>
      </c>
      <c r="BK65" s="1509">
        <f>BK38-BK46-BK63</f>
        <v/>
      </c>
      <c r="BL65" s="1509">
        <f>BL38-BL46-BL63</f>
        <v/>
      </c>
      <c r="BM65" s="1509">
        <f>BM38-BM46-BM63</f>
        <v/>
      </c>
      <c r="BN65" s="1509">
        <f>BN38-BN46-BN63</f>
        <v/>
      </c>
      <c r="BO65" s="1509">
        <f>BO38-BO46-BO63</f>
        <v/>
      </c>
      <c r="BP65" s="1509">
        <f>BP38-BP46-BP63</f>
        <v/>
      </c>
      <c r="BQ65" s="1509">
        <f>BQ38-BQ46-BQ63</f>
        <v/>
      </c>
      <c r="BR65" s="1509">
        <f>BR38-BR46-BR63</f>
        <v/>
      </c>
      <c r="BS65" s="1509">
        <f>BS38-BS46-BS63</f>
        <v/>
      </c>
      <c r="BT65" s="1509">
        <f>BT38-BT46-BT63</f>
        <v/>
      </c>
      <c r="BU65" s="1509">
        <f>BU38-BU46-BU63</f>
        <v/>
      </c>
      <c r="BV65" s="1509">
        <f>BV38-BV46-BV63</f>
        <v/>
      </c>
      <c r="BW65" s="1509">
        <f>BW38-BW46-BW63</f>
        <v/>
      </c>
      <c r="BX65" s="1509">
        <f>BX38-BX46-BX63</f>
        <v/>
      </c>
      <c r="BY65" s="1509">
        <f>BY38-BY46-BY63</f>
        <v/>
      </c>
      <c r="BZ65" s="1509">
        <f>BZ38-BZ46-BZ63</f>
        <v/>
      </c>
      <c r="CA65" s="1509">
        <f>CA38-CA46-CA63</f>
        <v/>
      </c>
      <c r="CB65" s="1509">
        <f>CB38-CB46-CB63</f>
        <v/>
      </c>
      <c r="CC65" s="1509">
        <f>CC38-CC46-CC63</f>
        <v/>
      </c>
      <c r="CD65" s="1509">
        <f>CD38-CD46-CD63</f>
        <v/>
      </c>
      <c r="CE65" s="1509">
        <f>CE38-CE46-CE63</f>
        <v/>
      </c>
      <c r="CF65" s="1509">
        <f>CF38-CF46-CF63</f>
        <v/>
      </c>
      <c r="CG65" s="1509">
        <f>CG38-CG46-CG63</f>
        <v/>
      </c>
      <c r="CH65" s="1509">
        <f>CH38-CH46-CH63</f>
        <v/>
      </c>
      <c r="CI65" s="1509">
        <f>CI38-CI46-CI63</f>
        <v/>
      </c>
      <c r="CJ65" s="1509">
        <f>CJ38-CJ46-CJ63</f>
        <v/>
      </c>
      <c r="CK65" s="1509">
        <f>CK38-CK46-CK63</f>
        <v/>
      </c>
      <c r="CL65" s="1509">
        <f>CL38-CL46-CL63</f>
        <v/>
      </c>
      <c r="CM65" s="1509">
        <f>CM38-CM46-CM63</f>
        <v/>
      </c>
      <c r="CN65" s="1509">
        <f>CN38-CN46-CN63</f>
        <v/>
      </c>
      <c r="CO65" s="1509">
        <f>CO38-CO46-CO63</f>
        <v/>
      </c>
      <c r="CP65" s="1509">
        <f>CP38-CP46-CP63</f>
        <v/>
      </c>
      <c r="CQ65" s="1509">
        <f>CQ38-CQ46-CQ63</f>
        <v/>
      </c>
      <c r="CR65" s="1509">
        <f>CR38-CR46-CR63</f>
        <v/>
      </c>
      <c r="CS65" s="1509">
        <f>CS38-CS46-CS63</f>
        <v/>
      </c>
      <c r="CT65" s="1509">
        <f>CT38-CT46-CT63</f>
        <v/>
      </c>
      <c r="CU65" s="1509">
        <f>CU38-CU46-CU63</f>
        <v/>
      </c>
      <c r="CV65" s="1509">
        <f>CV38-CV46-CV63</f>
        <v/>
      </c>
      <c r="CW65" s="1509">
        <f>CW38-CW46-CW63</f>
        <v/>
      </c>
      <c r="CX65" s="1509">
        <f>CX38-CX46-CX63</f>
        <v/>
      </c>
      <c r="CY65" s="1509">
        <f>CY38-CY46-CY63</f>
        <v/>
      </c>
      <c r="CZ65" s="1509">
        <f>CZ38-CZ46-CZ63</f>
        <v/>
      </c>
      <c r="DA65" s="1509">
        <f>DA38-DA46-DA63</f>
        <v/>
      </c>
      <c r="DB65" s="1509">
        <f>DB38-DB46-DB63</f>
        <v/>
      </c>
      <c r="DC65" s="1509">
        <f>DC38-DC46-DC63</f>
        <v/>
      </c>
      <c r="DD65" s="1509">
        <f>DD38-DD46-DD63</f>
        <v/>
      </c>
      <c r="DE65" s="1509">
        <f>DE38-DE46-DE63</f>
        <v/>
      </c>
      <c r="DF65" s="1509">
        <f>DF38-DF46-DF63</f>
        <v/>
      </c>
      <c r="DG65" s="1509">
        <f>DG38-DG46-DG63</f>
        <v/>
      </c>
      <c r="DH65" s="1509">
        <f>DH38-DH46-DH63</f>
        <v/>
      </c>
      <c r="DI65" s="1509">
        <f>DI38-DI46-DI63</f>
        <v/>
      </c>
      <c r="DJ65" s="1509">
        <f>DJ38-DJ46-DJ63</f>
        <v/>
      </c>
      <c r="DK65" s="1509">
        <f>DK38-DK46-DK63</f>
        <v/>
      </c>
      <c r="DL65" s="1509">
        <f>DL38-DL46-DL63</f>
        <v/>
      </c>
      <c r="DM65" s="1509">
        <f>DM38-DM46-DM63</f>
        <v/>
      </c>
      <c r="DN65" s="1509">
        <f>DN38-DN46-DN63</f>
        <v/>
      </c>
      <c r="DO65" s="1509">
        <f>DO38-DO46-DO63</f>
        <v/>
      </c>
      <c r="DP65" s="1509">
        <f>DP38-DP46-DP63</f>
        <v/>
      </c>
      <c r="DS65" s="1508" t="n"/>
    </row>
    <row r="66">
      <c r="C66" s="733" t="n"/>
      <c r="D66" s="733">
        <f>D65/D15</f>
        <v/>
      </c>
      <c r="E66" s="733">
        <f>E65/E15</f>
        <v/>
      </c>
      <c r="F66" s="733">
        <f>F65/F15</f>
        <v/>
      </c>
      <c r="G66" s="733">
        <f>G65/G15</f>
        <v/>
      </c>
      <c r="H66" s="733">
        <f>H65/H15</f>
        <v/>
      </c>
      <c r="I66" s="733">
        <f>I65/I15</f>
        <v/>
      </c>
      <c r="J66" s="733">
        <f>J65/J15</f>
        <v/>
      </c>
      <c r="K66" s="733">
        <f>K65/K15</f>
        <v/>
      </c>
      <c r="L66" s="733">
        <f>L65/L15</f>
        <v/>
      </c>
      <c r="M66" s="733">
        <f>M65/M15</f>
        <v/>
      </c>
      <c r="N66" s="733">
        <f>N65/N15</f>
        <v/>
      </c>
      <c r="O66" s="733">
        <f>O65/O15</f>
        <v/>
      </c>
      <c r="P66" s="733">
        <f>P65/P15</f>
        <v/>
      </c>
      <c r="Q66" s="733">
        <f>Q65/Q15</f>
        <v/>
      </c>
      <c r="R66" s="733">
        <f>R65/R15</f>
        <v/>
      </c>
      <c r="S66" s="733">
        <f>S65/S15</f>
        <v/>
      </c>
      <c r="T66" s="733">
        <f>T65/T15</f>
        <v/>
      </c>
      <c r="U66" s="733">
        <f>U65/U15</f>
        <v/>
      </c>
      <c r="V66" s="733">
        <f>V65/V15</f>
        <v/>
      </c>
      <c r="W66" s="733">
        <f>W65/W15</f>
        <v/>
      </c>
      <c r="X66" s="733">
        <f>X65/X15</f>
        <v/>
      </c>
      <c r="Y66" s="733">
        <f>Y65/Y15</f>
        <v/>
      </c>
      <c r="Z66" s="733">
        <f>Z65/Z15</f>
        <v/>
      </c>
      <c r="AA66" s="733">
        <f>AA65/AA15</f>
        <v/>
      </c>
      <c r="AB66" s="733">
        <f>AB65/AB15</f>
        <v/>
      </c>
      <c r="AC66" s="733">
        <f>AC65/AC15</f>
        <v/>
      </c>
      <c r="AD66" s="733">
        <f>AD65/AD15</f>
        <v/>
      </c>
      <c r="AE66" s="733">
        <f>AE65/AE15</f>
        <v/>
      </c>
      <c r="AF66" s="733">
        <f>AF65/AF15</f>
        <v/>
      </c>
      <c r="AG66" s="733">
        <f>AG65/AG15</f>
        <v/>
      </c>
      <c r="AH66" s="733">
        <f>AH65/AH15</f>
        <v/>
      </c>
      <c r="AI66" s="733">
        <f>AI65/AI15</f>
        <v/>
      </c>
      <c r="AJ66" s="733">
        <f>AJ65/AJ15</f>
        <v/>
      </c>
      <c r="AK66" s="733">
        <f>AK65/AK15</f>
        <v/>
      </c>
      <c r="AL66" s="733">
        <f>AL65/AL15</f>
        <v/>
      </c>
      <c r="AM66" s="733">
        <f>AM65/AM15</f>
        <v/>
      </c>
      <c r="AN66" s="733">
        <f>AN65/AN15</f>
        <v/>
      </c>
      <c r="AO66" s="733">
        <f>AO65/AO15</f>
        <v/>
      </c>
      <c r="AP66" s="733">
        <f>AP65/AP15</f>
        <v/>
      </c>
      <c r="AQ66" s="733">
        <f>AQ65/AQ15</f>
        <v/>
      </c>
      <c r="AR66" s="733">
        <f>AR65/AR15</f>
        <v/>
      </c>
      <c r="AS66" s="733">
        <f>AS65/AS15</f>
        <v/>
      </c>
      <c r="AT66" s="733">
        <f>AT65/AT15</f>
        <v/>
      </c>
      <c r="AU66" s="733">
        <f>AU65/AU15</f>
        <v/>
      </c>
      <c r="AV66" s="733">
        <f>AV65/AV15</f>
        <v/>
      </c>
      <c r="AW66" s="733">
        <f>AW65/AW15</f>
        <v/>
      </c>
      <c r="AX66" s="733">
        <f>AX65/AX15</f>
        <v/>
      </c>
      <c r="AY66" s="733">
        <f>AY65/AY15</f>
        <v/>
      </c>
      <c r="AZ66" s="733">
        <f>AZ65/AZ15</f>
        <v/>
      </c>
      <c r="BA66" s="733">
        <f>BA65/BA15</f>
        <v/>
      </c>
      <c r="BB66" s="733">
        <f>BB65/BB15</f>
        <v/>
      </c>
      <c r="BC66" s="733">
        <f>BC65/BC15</f>
        <v/>
      </c>
      <c r="BD66" s="733">
        <f>BD65/BD15</f>
        <v/>
      </c>
      <c r="BE66" s="733">
        <f>BE65/BE15</f>
        <v/>
      </c>
      <c r="BF66" s="733">
        <f>BF65/BF15</f>
        <v/>
      </c>
      <c r="BG66" s="733">
        <f>BG65/BG15</f>
        <v/>
      </c>
      <c r="BH66" s="733">
        <f>BH65/BH15</f>
        <v/>
      </c>
      <c r="BI66" s="733">
        <f>BI65/BI15</f>
        <v/>
      </c>
      <c r="BJ66" s="733">
        <f>BJ65/BJ15</f>
        <v/>
      </c>
      <c r="BK66" s="733">
        <f>BK65/BK15</f>
        <v/>
      </c>
      <c r="BL66" s="733">
        <f>BL65/BL15</f>
        <v/>
      </c>
      <c r="BM66" s="733">
        <f>BM65/BM15</f>
        <v/>
      </c>
      <c r="BN66" s="733">
        <f>BN65/BN15</f>
        <v/>
      </c>
      <c r="BO66" s="733">
        <f>BO65/BO15</f>
        <v/>
      </c>
      <c r="BP66" s="733">
        <f>BP65/BP15</f>
        <v/>
      </c>
      <c r="BQ66" s="733">
        <f>BQ65/BQ15</f>
        <v/>
      </c>
      <c r="BR66" s="733">
        <f>BR65/BR15</f>
        <v/>
      </c>
      <c r="BS66" s="733">
        <f>BS65/BS15</f>
        <v/>
      </c>
      <c r="BT66" s="733">
        <f>BT65/BT15</f>
        <v/>
      </c>
      <c r="BU66" s="733">
        <f>BU65/BU15</f>
        <v/>
      </c>
      <c r="BV66" s="733">
        <f>BV65/BV15</f>
        <v/>
      </c>
      <c r="BW66" s="733">
        <f>BW65/BW15</f>
        <v/>
      </c>
      <c r="BX66" s="733">
        <f>BX65/BX15</f>
        <v/>
      </c>
      <c r="BY66" s="733">
        <f>BY65/BY15</f>
        <v/>
      </c>
      <c r="BZ66" s="733">
        <f>BZ65/BZ15</f>
        <v/>
      </c>
      <c r="CA66" s="733">
        <f>CA65/CA15</f>
        <v/>
      </c>
      <c r="CB66" s="733">
        <f>CB65/CB15</f>
        <v/>
      </c>
      <c r="CC66" s="733">
        <f>CC65/CC15</f>
        <v/>
      </c>
      <c r="CD66" s="733">
        <f>CD65/CD15</f>
        <v/>
      </c>
      <c r="CE66" s="733">
        <f>CE65/CE15</f>
        <v/>
      </c>
      <c r="CF66" s="733">
        <f>CF65/CF15</f>
        <v/>
      </c>
      <c r="CG66" s="733">
        <f>CG65/CG15</f>
        <v/>
      </c>
      <c r="CH66" s="733">
        <f>CH65/CH15</f>
        <v/>
      </c>
      <c r="CI66" s="733">
        <f>CI65/CI15</f>
        <v/>
      </c>
      <c r="CJ66" s="733">
        <f>CJ65/CJ15</f>
        <v/>
      </c>
      <c r="CK66" s="733">
        <f>CK65/CK15</f>
        <v/>
      </c>
      <c r="CL66" s="733">
        <f>CL65/CL15</f>
        <v/>
      </c>
      <c r="CM66" s="733">
        <f>CM65/CM15</f>
        <v/>
      </c>
      <c r="CN66" s="733">
        <f>CN65/CN15</f>
        <v/>
      </c>
      <c r="CO66" s="733">
        <f>CO65/CO15</f>
        <v/>
      </c>
      <c r="CP66" s="733">
        <f>CP65/CP15</f>
        <v/>
      </c>
      <c r="CQ66" s="733">
        <f>CQ65/CQ15</f>
        <v/>
      </c>
      <c r="CR66" s="733">
        <f>CR65/CR15</f>
        <v/>
      </c>
      <c r="CS66" s="733">
        <f>CS65/CS15</f>
        <v/>
      </c>
      <c r="CT66" s="733">
        <f>CT65/CT15</f>
        <v/>
      </c>
      <c r="CU66" s="733">
        <f>CU65/CU15</f>
        <v/>
      </c>
      <c r="CV66" s="733">
        <f>CV65/CV15</f>
        <v/>
      </c>
      <c r="CW66" s="733">
        <f>CW65/CW15</f>
        <v/>
      </c>
      <c r="CX66" s="733">
        <f>CX65/CX15</f>
        <v/>
      </c>
      <c r="CY66" s="733">
        <f>CY65/CY15</f>
        <v/>
      </c>
      <c r="CZ66" s="733">
        <f>CZ65/CZ15</f>
        <v/>
      </c>
      <c r="DA66" s="733">
        <f>DA65/DA15</f>
        <v/>
      </c>
      <c r="DB66" s="733">
        <f>DB65/DB15</f>
        <v/>
      </c>
      <c r="DC66" s="733">
        <f>DC65/DC15</f>
        <v/>
      </c>
      <c r="DD66" s="733">
        <f>DD65/DD15</f>
        <v/>
      </c>
      <c r="DE66" s="733">
        <f>DE65/DE15</f>
        <v/>
      </c>
      <c r="DF66" s="733">
        <f>DF65/DF15</f>
        <v/>
      </c>
      <c r="DG66" s="733">
        <f>DG65/DG15</f>
        <v/>
      </c>
      <c r="DH66" s="733">
        <f>DH65/DH15</f>
        <v/>
      </c>
      <c r="DI66" s="733">
        <f>DI65/DI15</f>
        <v/>
      </c>
      <c r="DJ66" s="733">
        <f>DJ65/DJ15</f>
        <v/>
      </c>
      <c r="DK66" s="733">
        <f>DK65/DK15</f>
        <v/>
      </c>
      <c r="DL66" s="733">
        <f>DL65/DL15</f>
        <v/>
      </c>
      <c r="DM66" s="733">
        <f>DM65/DM15</f>
        <v/>
      </c>
      <c r="DN66" s="733">
        <f>DN65/DN15</f>
        <v/>
      </c>
      <c r="DO66" s="733">
        <f>DO65/DO15</f>
        <v/>
      </c>
      <c r="DP66" s="733">
        <f>DP65/DP15</f>
        <v/>
      </c>
    </row>
    <row r="67" ht="15.75" customHeight="1" thickBot="1">
      <c r="B67" s="712" t="n"/>
      <c r="C67" s="713" t="n"/>
      <c r="D67" s="713" t="n"/>
      <c r="E67" s="713" t="n"/>
      <c r="F67" s="713" t="n"/>
      <c r="G67" s="713" t="n"/>
      <c r="H67" s="713" t="n"/>
      <c r="I67" s="713" t="n"/>
      <c r="J67" s="713" t="n"/>
      <c r="K67" s="713" t="n"/>
      <c r="L67" s="713" t="n"/>
      <c r="M67" s="713" t="n"/>
      <c r="N67" s="713" t="n"/>
      <c r="O67" s="713" t="n"/>
      <c r="P67" s="713" t="n"/>
      <c r="Q67" s="713" t="n"/>
      <c r="R67" s="713" t="n"/>
      <c r="S67" s="713" t="n"/>
      <c r="T67" s="713" t="n"/>
      <c r="U67" s="713" t="n"/>
      <c r="V67" s="713" t="n"/>
      <c r="W67" s="713" t="n"/>
      <c r="X67" s="713" t="n"/>
      <c r="Y67" s="713" t="n"/>
      <c r="Z67" s="713" t="n"/>
      <c r="AA67" s="713" t="n"/>
      <c r="AB67" s="713" t="n"/>
      <c r="AC67" s="713" t="n"/>
      <c r="AD67" s="713" t="n"/>
      <c r="AE67" s="713" t="n"/>
      <c r="AF67" s="713" t="n"/>
      <c r="AG67" s="713" t="n"/>
      <c r="AH67" s="713" t="n"/>
      <c r="AI67" s="713" t="n"/>
      <c r="AJ67" s="713" t="n"/>
      <c r="AK67" s="713" t="n"/>
      <c r="AL67" s="713" t="n"/>
      <c r="AM67" s="713" t="n"/>
      <c r="AN67" s="713" t="n"/>
      <c r="AO67" s="713" t="n"/>
      <c r="AP67" s="713" t="n"/>
      <c r="AQ67" s="713" t="n"/>
      <c r="AR67" s="713" t="n"/>
      <c r="AS67" s="713" t="n"/>
      <c r="AT67" s="713" t="n"/>
      <c r="AU67" s="713" t="n"/>
      <c r="AV67" s="713" t="n"/>
      <c r="AW67" s="713" t="n"/>
      <c r="AX67" s="713" t="n"/>
      <c r="AY67" s="713" t="n"/>
      <c r="AZ67" s="713" t="n"/>
      <c r="BA67" s="713" t="n"/>
      <c r="BB67" s="713" t="n"/>
      <c r="BC67" s="713" t="n"/>
      <c r="BD67" s="713" t="n"/>
      <c r="BE67" s="713" t="n"/>
      <c r="BF67" s="713" t="n"/>
      <c r="BG67" s="713" t="n"/>
      <c r="BH67" s="713" t="n"/>
      <c r="BI67" s="713" t="n"/>
      <c r="BJ67" s="713" t="n"/>
      <c r="BK67" s="713" t="n"/>
      <c r="BL67" s="713" t="n"/>
      <c r="BM67" s="713" t="n"/>
      <c r="BN67" s="713" t="n"/>
      <c r="BO67" s="713" t="n"/>
      <c r="BP67" s="713" t="n"/>
      <c r="BQ67" s="713" t="n"/>
      <c r="BR67" s="713" t="n"/>
      <c r="BS67" s="713" t="n"/>
      <c r="BT67" s="713" t="n"/>
      <c r="BU67" s="713" t="n"/>
      <c r="BV67" s="713" t="n"/>
      <c r="BW67" s="713" t="n"/>
      <c r="BX67" s="713" t="n"/>
      <c r="BY67" s="713" t="n"/>
      <c r="BZ67" s="713" t="n"/>
      <c r="CA67" s="713" t="n"/>
      <c r="CB67" s="713" t="n"/>
      <c r="CC67" s="713" t="n"/>
      <c r="CD67" s="713" t="n"/>
      <c r="CE67" s="713" t="n"/>
      <c r="CF67" s="713" t="n"/>
      <c r="CG67" s="713" t="n"/>
      <c r="CH67" s="713" t="n"/>
      <c r="CI67" s="713" t="n"/>
      <c r="CJ67" s="713" t="n"/>
      <c r="CK67" s="713" t="n"/>
      <c r="CL67" s="713" t="n"/>
      <c r="CM67" s="713" t="n"/>
      <c r="CN67" s="713" t="n"/>
      <c r="CO67" s="713" t="n"/>
      <c r="CP67" s="713" t="n"/>
      <c r="CQ67" s="713" t="n"/>
      <c r="CR67" s="713" t="n"/>
      <c r="CS67" s="713" t="n"/>
      <c r="CT67" s="713" t="n"/>
      <c r="CU67" s="713" t="n"/>
      <c r="CV67" s="713" t="n"/>
      <c r="CW67" s="713" t="n"/>
      <c r="CX67" s="713" t="n"/>
      <c r="CY67" s="713" t="n"/>
      <c r="CZ67" s="713" t="n"/>
      <c r="DA67" s="713" t="n"/>
      <c r="DB67" s="713" t="n"/>
      <c r="DC67" s="713" t="n"/>
      <c r="DD67" s="713" t="n"/>
      <c r="DE67" s="713" t="n"/>
      <c r="DF67" s="713" t="n"/>
      <c r="DG67" s="713" t="n"/>
      <c r="DH67" s="713" t="n"/>
      <c r="DI67" s="713" t="n"/>
      <c r="DJ67" s="713" t="n"/>
      <c r="DK67" s="713" t="n"/>
      <c r="DL67" s="713" t="n"/>
      <c r="DM67" s="713" t="n"/>
      <c r="DN67" s="713" t="n"/>
      <c r="DO67" s="713" t="n"/>
      <c r="DP67" s="713" t="n"/>
    </row>
    <row r="68" ht="15.75" customHeight="1" thickTop="1">
      <c r="A68" s="735" t="n"/>
      <c r="B68" s="724" t="n"/>
      <c r="C68" s="1505" t="n"/>
      <c r="D68" s="1505" t="n"/>
      <c r="E68" s="1505" t="n"/>
      <c r="F68" s="1505" t="n"/>
      <c r="G68" s="1505" t="n"/>
      <c r="H68" s="1505" t="n"/>
      <c r="I68" s="1505" t="n"/>
      <c r="J68" s="1505" t="n"/>
      <c r="K68" s="1505" t="n"/>
      <c r="L68" s="1505" t="n"/>
      <c r="M68" s="1505" t="n"/>
      <c r="N68" s="1505" t="n"/>
      <c r="O68" s="1505" t="n"/>
      <c r="P68" s="1507">
        <f>SUM(C68:O68)</f>
        <v/>
      </c>
      <c r="Q68" s="1505" t="n"/>
      <c r="R68" s="1505" t="n"/>
      <c r="S68" s="1505" t="n"/>
      <c r="T68" s="1505" t="n"/>
      <c r="U68" s="1505" t="n"/>
      <c r="V68" s="1505" t="n"/>
      <c r="W68" s="1505" t="n"/>
      <c r="X68" s="1505" t="n"/>
      <c r="Y68" s="1505" t="n"/>
      <c r="Z68" s="1505" t="n"/>
      <c r="AA68" s="1505" t="n"/>
      <c r="AB68" s="1505" t="n"/>
      <c r="AC68" s="1507">
        <f>SUM(Q68:AB68)</f>
        <v/>
      </c>
      <c r="AD68" s="1505" t="n"/>
      <c r="AE68" s="1505" t="n"/>
      <c r="AF68" s="1505" t="n"/>
      <c r="AG68" s="1505" t="n"/>
      <c r="AH68" s="1505" t="n"/>
      <c r="AI68" s="1505" t="n"/>
      <c r="AJ68" s="1505" t="n"/>
      <c r="AK68" s="1505" t="n"/>
      <c r="AL68" s="1505" t="n"/>
      <c r="AM68" s="1505" t="n"/>
      <c r="AN68" s="1505" t="n"/>
      <c r="AO68" s="1505" t="n"/>
      <c r="AP68" s="1507">
        <f>SUM(AD68:AO68)</f>
        <v/>
      </c>
      <c r="AQ68" s="1505" t="n"/>
      <c r="AR68" s="1505" t="n"/>
      <c r="AS68" s="1505" t="n"/>
      <c r="AT68" s="1505" t="n"/>
      <c r="AU68" s="1505" t="n"/>
      <c r="AV68" s="1505" t="n"/>
      <c r="AW68" s="1505" t="n"/>
      <c r="AX68" s="1505" t="n"/>
      <c r="AY68" s="1505" t="n"/>
      <c r="AZ68" s="1505" t="n"/>
      <c r="BA68" s="1505" t="n"/>
      <c r="BB68" s="1505" t="n"/>
      <c r="BC68" s="1507">
        <f>SUM(AQ68:BB68)</f>
        <v/>
      </c>
      <c r="BD68" s="1505" t="n"/>
      <c r="BE68" s="1505" t="n"/>
      <c r="BF68" s="1505" t="n"/>
      <c r="BG68" s="1505" t="n"/>
      <c r="BH68" s="1505" t="n"/>
      <c r="BI68" s="1505" t="n"/>
      <c r="BJ68" s="1505" t="n"/>
      <c r="BK68" s="1505" t="n"/>
      <c r="BL68" s="1505" t="n"/>
      <c r="BM68" s="1505" t="n"/>
      <c r="BN68" s="1505" t="n"/>
      <c r="BO68" s="1505" t="n"/>
      <c r="BP68" s="1507">
        <f>SUM(BD68:BO68)</f>
        <v/>
      </c>
      <c r="BQ68" s="1505" t="n"/>
      <c r="BR68" s="1505" t="n"/>
      <c r="BS68" s="1505" t="n"/>
      <c r="BT68" s="1505" t="n"/>
      <c r="BU68" s="1505" t="n"/>
      <c r="BV68" s="1505" t="n"/>
      <c r="BW68" s="1505" t="n"/>
      <c r="BX68" s="1505" t="n"/>
      <c r="BY68" s="1505" t="n"/>
      <c r="BZ68" s="1505" t="n"/>
      <c r="CA68" s="1505" t="n"/>
      <c r="CB68" s="1505" t="n"/>
      <c r="CC68" s="1507">
        <f>SUM(BQ68:CB68)</f>
        <v/>
      </c>
      <c r="CD68" s="1505" t="n"/>
      <c r="CE68" s="1505" t="n"/>
      <c r="CF68" s="1505" t="n"/>
      <c r="CG68" s="1505" t="n"/>
      <c r="CH68" s="1505" t="n"/>
      <c r="CI68" s="1505" t="n"/>
      <c r="CJ68" s="1505" t="n"/>
      <c r="CK68" s="1505" t="n"/>
      <c r="CL68" s="1505" t="n"/>
      <c r="CM68" s="1505" t="n"/>
      <c r="CN68" s="1505" t="n"/>
      <c r="CO68" s="1505" t="n"/>
      <c r="CP68" s="1507">
        <f>SUM(CD68:CO68)</f>
        <v/>
      </c>
      <c r="CQ68" s="1505" t="n"/>
      <c r="CR68" s="1505" t="n"/>
      <c r="CS68" s="1505" t="n"/>
      <c r="CT68" s="1505" t="n"/>
      <c r="CU68" s="1505" t="n"/>
      <c r="CV68" s="1505" t="n"/>
      <c r="CW68" s="1505" t="n"/>
      <c r="CX68" s="1505" t="n"/>
      <c r="CY68" s="1505" t="n"/>
      <c r="CZ68" s="1505" t="n"/>
      <c r="DA68" s="1505" t="n"/>
      <c r="DB68" s="1505" t="n"/>
      <c r="DC68" s="1507">
        <f>SUM(CQ68:DB68)</f>
        <v/>
      </c>
      <c r="DD68" s="1505" t="n"/>
      <c r="DE68" s="1505" t="n"/>
      <c r="DF68" s="1505" t="n"/>
      <c r="DG68" s="1505" t="n"/>
      <c r="DH68" s="1505" t="n"/>
      <c r="DI68" s="1505" t="n"/>
      <c r="DJ68" s="1505" t="n"/>
      <c r="DK68" s="1505" t="n"/>
      <c r="DL68" s="1505" t="n"/>
      <c r="DM68" s="1505" t="n"/>
      <c r="DN68" s="1505" t="n"/>
      <c r="DO68" s="1505" t="n"/>
      <c r="DP68" s="1507">
        <f>SUM(DD68:DO68)</f>
        <v/>
      </c>
    </row>
    <row r="69">
      <c r="B69" s="720" t="n"/>
      <c r="C69" s="1550">
        <f>SUM(C67:C68)</f>
        <v/>
      </c>
      <c r="D69" s="1550">
        <f>SUM(D67:D68)</f>
        <v/>
      </c>
      <c r="E69" s="1550">
        <f>SUM(E67:E68)</f>
        <v/>
      </c>
      <c r="F69" s="1550">
        <f>SUM(F67:F68)</f>
        <v/>
      </c>
      <c r="G69" s="1550">
        <f>SUM(G67:G68)</f>
        <v/>
      </c>
      <c r="H69" s="1550">
        <f>SUM(H67:H68)</f>
        <v/>
      </c>
      <c r="I69" s="1550">
        <f>SUM(I67:I68)</f>
        <v/>
      </c>
      <c r="J69" s="1550">
        <f>SUM(J67:J68)</f>
        <v/>
      </c>
      <c r="K69" s="1550">
        <f>SUM(K67:K68)</f>
        <v/>
      </c>
      <c r="L69" s="1550">
        <f>SUM(L67:L68)</f>
        <v/>
      </c>
      <c r="M69" s="1550">
        <f>SUM(M67:M68)</f>
        <v/>
      </c>
      <c r="N69" s="1550">
        <f>SUM(N67:N68)</f>
        <v/>
      </c>
      <c r="O69" s="1550">
        <f>SUM(O67:O68)</f>
        <v/>
      </c>
      <c r="P69" s="1509">
        <f>SUM(C69:O69)</f>
        <v/>
      </c>
      <c r="Q69" s="1550">
        <f>SUM(Q67:Q68)</f>
        <v/>
      </c>
      <c r="R69" s="1550">
        <f>SUM(R67:R68)</f>
        <v/>
      </c>
      <c r="S69" s="1550">
        <f>SUM(S67:S68)</f>
        <v/>
      </c>
      <c r="T69" s="1550">
        <f>SUM(T67:T68)</f>
        <v/>
      </c>
      <c r="U69" s="1550">
        <f>SUM(U67:U68)</f>
        <v/>
      </c>
      <c r="V69" s="1550">
        <f>SUM(V67:V68)</f>
        <v/>
      </c>
      <c r="W69" s="1550">
        <f>SUM(W67:W68)</f>
        <v/>
      </c>
      <c r="X69" s="1550">
        <f>SUM(X67:X68)</f>
        <v/>
      </c>
      <c r="Y69" s="1550">
        <f>SUM(Y67:Y68)</f>
        <v/>
      </c>
      <c r="Z69" s="1550">
        <f>SUM(Z67:Z68)</f>
        <v/>
      </c>
      <c r="AA69" s="1550">
        <f>SUM(AA67:AA68)</f>
        <v/>
      </c>
      <c r="AB69" s="1550">
        <f>SUM(AB67:AB68)</f>
        <v/>
      </c>
      <c r="AC69" s="1509">
        <f>SUM(Q69:AB69)</f>
        <v/>
      </c>
      <c r="AD69" s="1550">
        <f>SUM(AD67:AD68)</f>
        <v/>
      </c>
      <c r="AE69" s="1550">
        <f>SUM(AE67:AE68)</f>
        <v/>
      </c>
      <c r="AF69" s="1550">
        <f>SUM(AF67:AF68)</f>
        <v/>
      </c>
      <c r="AG69" s="1550">
        <f>SUM(AG67:AG68)</f>
        <v/>
      </c>
      <c r="AH69" s="1550">
        <f>SUM(AH67:AH68)</f>
        <v/>
      </c>
      <c r="AI69" s="1550">
        <f>SUM(AI67:AI68)</f>
        <v/>
      </c>
      <c r="AJ69" s="1550">
        <f>SUM(AJ67:AJ68)</f>
        <v/>
      </c>
      <c r="AK69" s="1550">
        <f>SUM(AK67:AK68)</f>
        <v/>
      </c>
      <c r="AL69" s="1550">
        <f>SUM(AL67:AL68)</f>
        <v/>
      </c>
      <c r="AM69" s="1550">
        <f>SUM(AM67:AM68)</f>
        <v/>
      </c>
      <c r="AN69" s="1550">
        <f>SUM(AN67:AN68)</f>
        <v/>
      </c>
      <c r="AO69" s="1550">
        <f>SUM(AO67:AO68)</f>
        <v/>
      </c>
      <c r="AP69" s="1509">
        <f>SUM(AD69:AO69)</f>
        <v/>
      </c>
      <c r="AQ69" s="1550">
        <f>SUM(AQ67:AQ68)</f>
        <v/>
      </c>
      <c r="AR69" s="1550">
        <f>SUM(AR67:AR68)</f>
        <v/>
      </c>
      <c r="AS69" s="1550">
        <f>SUM(AS67:AS68)</f>
        <v/>
      </c>
      <c r="AT69" s="1550">
        <f>SUM(AT67:AT68)</f>
        <v/>
      </c>
      <c r="AU69" s="1550">
        <f>SUM(AU67:AU68)</f>
        <v/>
      </c>
      <c r="AV69" s="1550">
        <f>SUM(AV67:AV68)</f>
        <v/>
      </c>
      <c r="AW69" s="1550">
        <f>SUM(AW67:AW68)</f>
        <v/>
      </c>
      <c r="AX69" s="1550">
        <f>SUM(AX67:AX68)</f>
        <v/>
      </c>
      <c r="AY69" s="1550">
        <f>SUM(AY67:AY68)</f>
        <v/>
      </c>
      <c r="AZ69" s="1550">
        <f>SUM(AZ67:AZ68)</f>
        <v/>
      </c>
      <c r="BA69" s="1550">
        <f>SUM(BA67:BA68)</f>
        <v/>
      </c>
      <c r="BB69" s="1550">
        <f>SUM(BB67:BB68)</f>
        <v/>
      </c>
      <c r="BC69" s="1509">
        <f>SUM(AQ69:BB69)</f>
        <v/>
      </c>
      <c r="BD69" s="1550">
        <f>SUM(BD67:BD68)</f>
        <v/>
      </c>
      <c r="BE69" s="1550">
        <f>SUM(BE67:BE68)</f>
        <v/>
      </c>
      <c r="BF69" s="1550">
        <f>SUM(BF67:BF68)</f>
        <v/>
      </c>
      <c r="BG69" s="1550">
        <f>SUM(BG67:BG68)</f>
        <v/>
      </c>
      <c r="BH69" s="1550">
        <f>SUM(BH67:BH68)</f>
        <v/>
      </c>
      <c r="BI69" s="1550">
        <f>SUM(BI67:BI68)</f>
        <v/>
      </c>
      <c r="BJ69" s="1550">
        <f>SUM(BJ67:BJ68)</f>
        <v/>
      </c>
      <c r="BK69" s="1550">
        <f>SUM(BK67:BK68)</f>
        <v/>
      </c>
      <c r="BL69" s="1550">
        <f>SUM(BL67:BL68)</f>
        <v/>
      </c>
      <c r="BM69" s="1550">
        <f>SUM(BM67:BM68)</f>
        <v/>
      </c>
      <c r="BN69" s="1550">
        <f>SUM(BN67:BN68)</f>
        <v/>
      </c>
      <c r="BO69" s="1550">
        <f>SUM(BO67:BO68)</f>
        <v/>
      </c>
      <c r="BP69" s="1509">
        <f>SUM(BD69:BO69)</f>
        <v/>
      </c>
      <c r="BQ69" s="1550">
        <f>SUM(BQ68)</f>
        <v/>
      </c>
      <c r="BR69" s="1550">
        <f>SUM(BR68)</f>
        <v/>
      </c>
      <c r="BS69" s="1550">
        <f>SUM(BS68)</f>
        <v/>
      </c>
      <c r="BT69" s="1550">
        <f>SUM(BT68)</f>
        <v/>
      </c>
      <c r="BU69" s="1550">
        <f>SUM(BU68)</f>
        <v/>
      </c>
      <c r="BV69" s="1550">
        <f>SUM(BV68)</f>
        <v/>
      </c>
      <c r="BW69" s="1550">
        <f>SUM(BW68)</f>
        <v/>
      </c>
      <c r="BX69" s="1550">
        <f>SUM(BX68)</f>
        <v/>
      </c>
      <c r="BY69" s="1550">
        <f>SUM(BY68)</f>
        <v/>
      </c>
      <c r="BZ69" s="1550">
        <f>SUM(BZ68)</f>
        <v/>
      </c>
      <c r="CA69" s="1550">
        <f>SUM(CA68)</f>
        <v/>
      </c>
      <c r="CB69" s="1550">
        <f>SUM(CB68)</f>
        <v/>
      </c>
      <c r="CC69" s="1509">
        <f>SUM(BQ69:CB69)</f>
        <v/>
      </c>
      <c r="CD69" s="1550">
        <f>SUM(CD68)</f>
        <v/>
      </c>
      <c r="CE69" s="1550">
        <f>SUM(CE68)</f>
        <v/>
      </c>
      <c r="CF69" s="1550">
        <f>SUM(CF68)</f>
        <v/>
      </c>
      <c r="CG69" s="1550">
        <f>SUM(CG68)</f>
        <v/>
      </c>
      <c r="CH69" s="1550">
        <f>SUM(CH68)</f>
        <v/>
      </c>
      <c r="CI69" s="1550">
        <f>SUM(CI68)</f>
        <v/>
      </c>
      <c r="CJ69" s="1550">
        <f>SUM(CJ68)</f>
        <v/>
      </c>
      <c r="CK69" s="1550">
        <f>SUM(CK68)</f>
        <v/>
      </c>
      <c r="CL69" s="1550">
        <f>SUM(CL68)</f>
        <v/>
      </c>
      <c r="CM69" s="1550">
        <f>SUM(CM68)</f>
        <v/>
      </c>
      <c r="CN69" s="1550">
        <f>SUM(CN68)</f>
        <v/>
      </c>
      <c r="CO69" s="1550">
        <f>SUM(CO68)</f>
        <v/>
      </c>
      <c r="CP69" s="1509">
        <f>SUM(CD69:CO69)</f>
        <v/>
      </c>
      <c r="CQ69" s="1550">
        <f>SUM(CQ68)</f>
        <v/>
      </c>
      <c r="CR69" s="1550">
        <f>SUM(CR68)</f>
        <v/>
      </c>
      <c r="CS69" s="1550">
        <f>SUM(CS68)</f>
        <v/>
      </c>
      <c r="CT69" s="1550">
        <f>SUM(CT68)</f>
        <v/>
      </c>
      <c r="CU69" s="1550">
        <f>SUM(CU68)</f>
        <v/>
      </c>
      <c r="CV69" s="1550">
        <f>SUM(CV68)</f>
        <v/>
      </c>
      <c r="CW69" s="1550">
        <f>SUM(CW68)</f>
        <v/>
      </c>
      <c r="CX69" s="1550">
        <f>SUM(CX68)</f>
        <v/>
      </c>
      <c r="CY69" s="1550">
        <f>SUM(CY68)</f>
        <v/>
      </c>
      <c r="CZ69" s="1550">
        <f>SUM(CZ68)</f>
        <v/>
      </c>
      <c r="DA69" s="1550">
        <f>SUM(DA68)</f>
        <v/>
      </c>
      <c r="DB69" s="1550">
        <f>SUM(DB68)</f>
        <v/>
      </c>
      <c r="DC69" s="1509">
        <f>SUM(CQ69:DB69)</f>
        <v/>
      </c>
      <c r="DD69" s="1550">
        <f>SUM(DD68)</f>
        <v/>
      </c>
      <c r="DE69" s="1550">
        <f>SUM(DE68)</f>
        <v/>
      </c>
      <c r="DF69" s="1550">
        <f>SUM(DF68)</f>
        <v/>
      </c>
      <c r="DG69" s="1550">
        <f>SUM(DG68)</f>
        <v/>
      </c>
      <c r="DH69" s="1550">
        <f>SUM(DH68)</f>
        <v/>
      </c>
      <c r="DI69" s="1550">
        <f>SUM(DI68)</f>
        <v/>
      </c>
      <c r="DJ69" s="1550">
        <f>SUM(DJ68)</f>
        <v/>
      </c>
      <c r="DK69" s="1550">
        <f>SUM(DK68)</f>
        <v/>
      </c>
      <c r="DL69" s="1550">
        <f>SUM(DL68)</f>
        <v/>
      </c>
      <c r="DM69" s="1550">
        <f>SUM(DM68)</f>
        <v/>
      </c>
      <c r="DN69" s="1550">
        <f>SUM(DN68)</f>
        <v/>
      </c>
      <c r="DO69" s="1550">
        <f>SUM(DO68)</f>
        <v/>
      </c>
      <c r="DP69" s="1509">
        <f>SUM(DD69:DO69)</f>
        <v/>
      </c>
    </row>
    <row r="70">
      <c r="B70" s="736" t="n"/>
      <c r="C70" s="1508" t="n"/>
      <c r="D70" s="1508" t="n"/>
      <c r="E70" s="1508" t="n"/>
      <c r="F70" s="1508" t="n"/>
      <c r="G70" s="1508" t="n"/>
      <c r="H70" s="1508" t="n"/>
      <c r="I70" s="1508" t="n"/>
      <c r="J70" s="1508" t="n"/>
      <c r="K70" s="1508" t="n"/>
      <c r="L70" s="1508" t="n"/>
      <c r="M70" s="1508" t="n"/>
      <c r="N70" s="1508" t="n"/>
      <c r="O70" s="1508" t="n"/>
      <c r="P70" s="1508" t="n"/>
      <c r="Q70" s="1508" t="n"/>
      <c r="R70" s="1508" t="n"/>
      <c r="S70" s="1508" t="n"/>
      <c r="T70" s="1508" t="n"/>
      <c r="U70" s="1508" t="n"/>
      <c r="V70" s="1508" t="n"/>
      <c r="W70" s="1508" t="n"/>
      <c r="X70" s="1508" t="n"/>
      <c r="Y70" s="1508" t="n"/>
      <c r="Z70" s="1508" t="n"/>
      <c r="AA70" s="1508" t="n"/>
      <c r="AB70" s="1508" t="n"/>
      <c r="AC70" s="1508" t="n"/>
      <c r="AD70" s="1508" t="n"/>
      <c r="AE70" s="1508" t="n"/>
      <c r="AF70" s="1508" t="n"/>
      <c r="AG70" s="1508" t="n"/>
      <c r="AH70" s="1508" t="n"/>
      <c r="AI70" s="1508" t="n"/>
      <c r="AJ70" s="1508" t="n"/>
      <c r="AK70" s="1508" t="n"/>
      <c r="AL70" s="1508" t="n"/>
      <c r="AM70" s="1508" t="n"/>
      <c r="AN70" s="1508" t="n"/>
      <c r="AO70" s="1508" t="n"/>
      <c r="AP70" s="1508" t="n"/>
      <c r="AQ70" s="1508" t="n"/>
      <c r="AR70" s="1508" t="n"/>
      <c r="AS70" s="1508" t="n"/>
      <c r="AT70" s="1508" t="n"/>
      <c r="AU70" s="1508" t="n"/>
      <c r="AV70" s="1508" t="n"/>
      <c r="AW70" s="1508" t="n"/>
      <c r="AX70" s="1508" t="n"/>
      <c r="AY70" s="1508" t="n"/>
      <c r="AZ70" s="1508" t="n"/>
      <c r="BA70" s="1508" t="n"/>
      <c r="BB70" s="1508" t="n"/>
      <c r="BC70" s="1508" t="n"/>
      <c r="BD70" s="1508" t="n"/>
      <c r="BE70" s="1508" t="n"/>
      <c r="BF70" s="1508" t="n"/>
      <c r="BG70" s="1508" t="n"/>
      <c r="BH70" s="1508" t="n"/>
      <c r="BI70" s="1508" t="n"/>
      <c r="BJ70" s="1508" t="n"/>
      <c r="BK70" s="1508" t="n"/>
      <c r="BL70" s="1508" t="n"/>
      <c r="BM70" s="1508" t="n"/>
      <c r="BN70" s="1508" t="n"/>
      <c r="BO70" s="1508" t="n"/>
      <c r="BP70" s="1508" t="n"/>
      <c r="BQ70" s="1508" t="n"/>
      <c r="BR70" s="1508" t="n"/>
      <c r="BS70" s="1508" t="n"/>
      <c r="BT70" s="1508" t="n"/>
      <c r="BU70" s="1508" t="n"/>
      <c r="BV70" s="1508" t="n"/>
      <c r="BW70" s="1508" t="n"/>
      <c r="BX70" s="1508" t="n"/>
      <c r="BY70" s="1508" t="n"/>
      <c r="BZ70" s="1508" t="n"/>
      <c r="CA70" s="1508" t="n"/>
      <c r="CB70" s="1508" t="n"/>
      <c r="CC70" s="1508" t="n"/>
      <c r="CD70" s="1508" t="n"/>
      <c r="CE70" s="1508" t="n"/>
      <c r="CF70" s="1508" t="n"/>
      <c r="CG70" s="1508" t="n"/>
      <c r="CH70" s="1508" t="n"/>
      <c r="CI70" s="1508" t="n"/>
      <c r="CJ70" s="1508" t="n"/>
      <c r="CK70" s="1508" t="n"/>
      <c r="CL70" s="1508" t="n"/>
      <c r="CM70" s="1508" t="n"/>
      <c r="CN70" s="1508" t="n"/>
      <c r="CO70" s="1508" t="n"/>
      <c r="CP70" s="1508" t="n"/>
      <c r="CQ70" s="1508" t="n"/>
      <c r="CR70" s="1508" t="n"/>
      <c r="CS70" s="1508" t="n"/>
      <c r="CT70" s="1508" t="n"/>
      <c r="CU70" s="1508" t="n"/>
      <c r="CV70" s="1508" t="n"/>
      <c r="CW70" s="1508" t="n"/>
      <c r="CX70" s="1508" t="n"/>
      <c r="CY70" s="1508" t="n"/>
      <c r="CZ70" s="1508" t="n"/>
      <c r="DA70" s="1508" t="n"/>
      <c r="DB70" s="1508" t="n"/>
      <c r="DC70" s="1508" t="n"/>
      <c r="DD70" s="1508" t="n"/>
      <c r="DE70" s="1508" t="n"/>
      <c r="DF70" s="1508" t="n"/>
      <c r="DG70" s="1508" t="n"/>
      <c r="DH70" s="1508" t="n"/>
      <c r="DI70" s="1508" t="n"/>
      <c r="DJ70" s="1508" t="n"/>
      <c r="DK70" s="1508" t="n"/>
      <c r="DL70" s="1508" t="n"/>
      <c r="DM70" s="1508" t="n"/>
      <c r="DN70" s="1508" t="n"/>
      <c r="DO70" s="1508" t="n"/>
      <c r="DP70" s="1508" t="n"/>
    </row>
    <row r="71" ht="15.75" customHeight="1" thickBot="1">
      <c r="B71" s="712" t="n"/>
      <c r="C71" s="713" t="n"/>
      <c r="D71" s="713" t="n"/>
      <c r="E71" s="713" t="n"/>
      <c r="F71" s="713" t="n"/>
      <c r="G71" s="713" t="n"/>
      <c r="H71" s="713" t="n"/>
      <c r="I71" s="713" t="n"/>
      <c r="J71" s="713" t="n"/>
      <c r="K71" s="713" t="n"/>
      <c r="L71" s="713" t="n"/>
      <c r="M71" s="713" t="n"/>
      <c r="N71" s="713" t="n"/>
      <c r="O71" s="713" t="n"/>
      <c r="P71" s="713" t="n"/>
      <c r="Q71" s="713" t="n"/>
      <c r="R71" s="713" t="n"/>
      <c r="S71" s="713" t="n"/>
      <c r="T71" s="713" t="n"/>
      <c r="U71" s="713" t="n"/>
      <c r="V71" s="713" t="n"/>
      <c r="W71" s="713" t="n"/>
      <c r="X71" s="713" t="n"/>
      <c r="Y71" s="713" t="n"/>
      <c r="Z71" s="713" t="n"/>
      <c r="AA71" s="713" t="n"/>
      <c r="AB71" s="713" t="n"/>
      <c r="AC71" s="713" t="n"/>
      <c r="AD71" s="713" t="n"/>
      <c r="AE71" s="713" t="n"/>
      <c r="AF71" s="713" t="n"/>
      <c r="AG71" s="713" t="n"/>
      <c r="AH71" s="713" t="n"/>
      <c r="AI71" s="713" t="n"/>
      <c r="AJ71" s="713" t="n"/>
      <c r="AK71" s="713" t="n"/>
      <c r="AL71" s="713" t="n"/>
      <c r="AM71" s="713" t="n"/>
      <c r="AN71" s="713" t="n"/>
      <c r="AO71" s="713" t="n"/>
      <c r="AP71" s="713" t="n"/>
      <c r="AQ71" s="713" t="n"/>
      <c r="AR71" s="713" t="n"/>
      <c r="AS71" s="713" t="n"/>
      <c r="AT71" s="713" t="n"/>
      <c r="AU71" s="713" t="n"/>
      <c r="AV71" s="713" t="n"/>
      <c r="AW71" s="713" t="n"/>
      <c r="AX71" s="713" t="n"/>
      <c r="AY71" s="713" t="n"/>
      <c r="AZ71" s="713" t="n"/>
      <c r="BA71" s="713" t="n"/>
      <c r="BB71" s="713" t="n"/>
      <c r="BC71" s="713" t="n"/>
      <c r="BD71" s="713" t="n"/>
      <c r="BE71" s="713" t="n"/>
      <c r="BF71" s="713" t="n"/>
      <c r="BG71" s="713" t="n"/>
      <c r="BH71" s="713" t="n"/>
      <c r="BI71" s="713" t="n"/>
      <c r="BJ71" s="713" t="n"/>
      <c r="BK71" s="713" t="n"/>
      <c r="BL71" s="713" t="n"/>
      <c r="BM71" s="713" t="n"/>
      <c r="BN71" s="713" t="n"/>
      <c r="BO71" s="713" t="n"/>
      <c r="BP71" s="713" t="n"/>
      <c r="BQ71" s="713" t="n"/>
      <c r="BR71" s="713" t="n"/>
      <c r="BS71" s="713" t="n"/>
      <c r="BT71" s="713" t="n"/>
      <c r="BU71" s="713" t="n"/>
      <c r="BV71" s="713" t="n"/>
      <c r="BW71" s="713" t="n"/>
      <c r="BX71" s="713" t="n"/>
      <c r="BY71" s="713" t="n"/>
      <c r="BZ71" s="713" t="n"/>
      <c r="CA71" s="713" t="n"/>
      <c r="CB71" s="713" t="n"/>
      <c r="CC71" s="713" t="n"/>
      <c r="CD71" s="713" t="n"/>
      <c r="CE71" s="713" t="n"/>
      <c r="CF71" s="713" t="n"/>
      <c r="CG71" s="713" t="n"/>
      <c r="CH71" s="713" t="n"/>
      <c r="CI71" s="713" t="n"/>
      <c r="CJ71" s="713" t="n"/>
      <c r="CK71" s="713" t="n"/>
      <c r="CL71" s="713" t="n"/>
      <c r="CM71" s="713" t="n"/>
      <c r="CN71" s="713" t="n"/>
      <c r="CO71" s="713" t="n"/>
      <c r="CP71" s="713" t="n"/>
      <c r="CQ71" s="713" t="n"/>
      <c r="CR71" s="713" t="n"/>
      <c r="CS71" s="713" t="n"/>
      <c r="CT71" s="713" t="n"/>
      <c r="CU71" s="713" t="n"/>
      <c r="CV71" s="713" t="n"/>
      <c r="CW71" s="713" t="n"/>
      <c r="CX71" s="713" t="n"/>
      <c r="CY71" s="713" t="n"/>
      <c r="CZ71" s="713" t="n"/>
      <c r="DA71" s="713" t="n"/>
      <c r="DB71" s="713" t="n"/>
      <c r="DC71" s="713" t="n"/>
      <c r="DD71" s="713" t="n"/>
      <c r="DE71" s="713" t="n"/>
      <c r="DF71" s="713" t="n"/>
      <c r="DG71" s="713" t="n"/>
      <c r="DH71" s="713" t="n"/>
      <c r="DI71" s="713" t="n"/>
      <c r="DJ71" s="713" t="n"/>
      <c r="DK71" s="713" t="n"/>
      <c r="DL71" s="713" t="n"/>
      <c r="DM71" s="713" t="n"/>
      <c r="DN71" s="713" t="n"/>
      <c r="DO71" s="713" t="n"/>
      <c r="DP71" s="713" t="n"/>
    </row>
    <row r="72" ht="15.75" customHeight="1" thickTop="1">
      <c r="B72" s="724" t="n"/>
      <c r="C72" s="1505" t="n"/>
      <c r="D72" s="1505" t="n"/>
      <c r="E72" s="1505" t="n"/>
      <c r="F72" s="1505" t="n"/>
      <c r="G72" s="1505" t="n"/>
      <c r="H72" s="1505" t="n"/>
      <c r="I72" s="1505" t="n"/>
      <c r="J72" s="1505" t="n"/>
      <c r="K72" s="1505" t="n"/>
      <c r="L72" s="1505" t="n"/>
      <c r="M72" s="1505" t="n"/>
      <c r="N72" s="1505" t="n"/>
      <c r="O72" s="1505" t="n"/>
      <c r="P72" s="1507">
        <f>SUM(C72:O72)</f>
        <v/>
      </c>
      <c r="Q72" s="1505" t="n"/>
      <c r="R72" s="1505" t="n"/>
      <c r="S72" s="1505" t="n"/>
      <c r="T72" s="1505" t="n"/>
      <c r="U72" s="1505" t="n"/>
      <c r="V72" s="1505" t="n"/>
      <c r="W72" s="1505" t="n"/>
      <c r="X72" s="1505" t="n"/>
      <c r="Y72" s="1505" t="n"/>
      <c r="Z72" s="1505" t="n"/>
      <c r="AA72" s="1505" t="n"/>
      <c r="AB72" s="1505" t="n"/>
      <c r="AC72" s="1507">
        <f>SUM(Q72:AB72)</f>
        <v/>
      </c>
      <c r="AD72" s="1505" t="n"/>
      <c r="AE72" s="1505" t="n"/>
      <c r="AF72" s="1505" t="n"/>
      <c r="AG72" s="1505" t="n"/>
      <c r="AH72" s="1505" t="n"/>
      <c r="AI72" s="1505" t="n"/>
      <c r="AJ72" s="1505" t="n"/>
      <c r="AK72" s="1505" t="n"/>
      <c r="AL72" s="1505" t="n"/>
      <c r="AM72" s="1505" t="n"/>
      <c r="AN72" s="1505" t="n"/>
      <c r="AO72" s="1505" t="n"/>
      <c r="AP72" s="1507">
        <f>SUM(AD72:AO72)</f>
        <v/>
      </c>
      <c r="AQ72" s="1505" t="n"/>
      <c r="AR72" s="1505" t="n"/>
      <c r="AS72" s="1505" t="n"/>
      <c r="AT72" s="1505" t="n"/>
      <c r="AU72" s="1505" t="n"/>
      <c r="AV72" s="1505" t="n"/>
      <c r="AW72" s="1505" t="n"/>
      <c r="AX72" s="1505" t="n"/>
      <c r="AY72" s="1505" t="n"/>
      <c r="AZ72" s="1505" t="n"/>
      <c r="BA72" s="1505" t="n"/>
      <c r="BB72" s="1505" t="n"/>
      <c r="BC72" s="1507">
        <f>SUM(AQ72:BB72)</f>
        <v/>
      </c>
      <c r="BD72" s="1505" t="n"/>
      <c r="BE72" s="1505" t="n"/>
      <c r="BF72" s="1505" t="n"/>
      <c r="BG72" s="1505" t="n"/>
      <c r="BH72" s="1505" t="n"/>
      <c r="BI72" s="1505" t="n"/>
      <c r="BJ72" s="1505" t="n"/>
      <c r="BK72" s="1505" t="n"/>
      <c r="BL72" s="1505" t="n"/>
      <c r="BM72" s="1505" t="n"/>
      <c r="BN72" s="1505" t="n"/>
      <c r="BO72" s="1505" t="n"/>
      <c r="BP72" s="1507">
        <f>SUM(BD72:BO72)</f>
        <v/>
      </c>
      <c r="BQ72" s="1505" t="n"/>
      <c r="BR72" s="1505" t="n"/>
      <c r="BS72" s="1505" t="n"/>
      <c r="BT72" s="1505" t="n"/>
      <c r="BU72" s="1505" t="n"/>
      <c r="BV72" s="1505" t="n"/>
      <c r="BW72" s="1505" t="n"/>
      <c r="BX72" s="1505" t="n"/>
      <c r="BY72" s="1505" t="n"/>
      <c r="BZ72" s="1505" t="n"/>
      <c r="CA72" s="1505" t="n"/>
      <c r="CB72" s="1505" t="n"/>
      <c r="CC72" s="1507">
        <f>SUM(BQ72:CB72)</f>
        <v/>
      </c>
      <c r="CD72" s="1505" t="n"/>
      <c r="CE72" s="1505" t="n"/>
      <c r="CF72" s="1505" t="n"/>
      <c r="CG72" s="1505" t="n"/>
      <c r="CH72" s="1505" t="n"/>
      <c r="CI72" s="1505" t="n"/>
      <c r="CJ72" s="1505" t="n"/>
      <c r="CK72" s="1505" t="n"/>
      <c r="CL72" s="1505" t="n"/>
      <c r="CM72" s="1505" t="n"/>
      <c r="CN72" s="1505" t="n"/>
      <c r="CO72" s="1505" t="n"/>
      <c r="CP72" s="1507">
        <f>SUM(CD72:CO72)</f>
        <v/>
      </c>
      <c r="CQ72" s="1505" t="n"/>
      <c r="CR72" s="1505" t="n"/>
      <c r="CS72" s="1505" t="n"/>
      <c r="CT72" s="1505" t="n"/>
      <c r="CU72" s="1505" t="n"/>
      <c r="CV72" s="1505" t="n"/>
      <c r="CW72" s="1505" t="n"/>
      <c r="CX72" s="1505" t="n"/>
      <c r="CY72" s="1505" t="n"/>
      <c r="CZ72" s="1505" t="n"/>
      <c r="DA72" s="1505" t="n"/>
      <c r="DB72" s="1505" t="n"/>
      <c r="DC72" s="1507">
        <f>SUM(CQ72:DB72)</f>
        <v/>
      </c>
      <c r="DD72" s="1505" t="n"/>
      <c r="DE72" s="1505" t="n"/>
      <c r="DF72" s="1505" t="n"/>
      <c r="DG72" s="1505" t="n"/>
      <c r="DH72" s="1505" t="n"/>
      <c r="DI72" s="1505" t="n"/>
      <c r="DJ72" s="1505" t="n"/>
      <c r="DK72" s="1505" t="n"/>
      <c r="DL72" s="1505" t="n"/>
      <c r="DM72" s="1505" t="n"/>
      <c r="DN72" s="1505" t="n"/>
      <c r="DO72" s="1505" t="n"/>
      <c r="DP72" s="1507">
        <f>SUM(DD72:DO72)</f>
        <v/>
      </c>
    </row>
    <row r="73">
      <c r="B73" s="724" t="n"/>
      <c r="C73" s="1505" t="n"/>
      <c r="D73" s="1505" t="n"/>
      <c r="E73" s="1505" t="n"/>
      <c r="F73" s="1505" t="n"/>
      <c r="G73" s="1505" t="n"/>
      <c r="H73" s="1505" t="n"/>
      <c r="I73" s="1505" t="n"/>
      <c r="J73" s="1505" t="n"/>
      <c r="K73" s="1505" t="n"/>
      <c r="L73" s="1505" t="n"/>
      <c r="M73" s="1505" t="n"/>
      <c r="N73" s="1505" t="n"/>
      <c r="O73" s="1505" t="n"/>
      <c r="P73" s="1507">
        <f>SUM(C73:O73)</f>
        <v/>
      </c>
      <c r="Q73" s="1505" t="n"/>
      <c r="R73" s="1505" t="n"/>
      <c r="S73" s="1505" t="n"/>
      <c r="T73" s="1505" t="n"/>
      <c r="U73" s="1505" t="n"/>
      <c r="V73" s="1505" t="n"/>
      <c r="W73" s="1505" t="n"/>
      <c r="X73" s="1505" t="n"/>
      <c r="Y73" s="1505" t="n"/>
      <c r="Z73" s="1505" t="n"/>
      <c r="AA73" s="1505" t="n"/>
      <c r="AB73" s="1505" t="n"/>
      <c r="AC73" s="1507">
        <f>SUM(Q73:AB73)</f>
        <v/>
      </c>
      <c r="AD73" s="1505" t="n"/>
      <c r="AE73" s="1505" t="n"/>
      <c r="AF73" s="1505" t="n"/>
      <c r="AG73" s="1505" t="n"/>
      <c r="AH73" s="1505" t="n"/>
      <c r="AI73" s="1505" t="n"/>
      <c r="AJ73" s="1505" t="n"/>
      <c r="AK73" s="1505" t="n"/>
      <c r="AL73" s="1505" t="n"/>
      <c r="AM73" s="1505" t="n"/>
      <c r="AN73" s="1505" t="n"/>
      <c r="AO73" s="1505" t="n"/>
      <c r="AP73" s="1507">
        <f>SUM(AD73:AO73)</f>
        <v/>
      </c>
      <c r="AQ73" s="1505" t="n"/>
      <c r="AR73" s="1505" t="n"/>
      <c r="AS73" s="1505" t="n"/>
      <c r="AT73" s="1505" t="n"/>
      <c r="AU73" s="1505" t="n"/>
      <c r="AV73" s="1505" t="n"/>
      <c r="AW73" s="1505" t="n"/>
      <c r="AX73" s="1505" t="n"/>
      <c r="AY73" s="1505" t="n"/>
      <c r="AZ73" s="1505" t="n"/>
      <c r="BA73" s="1505" t="n"/>
      <c r="BB73" s="1505" t="n"/>
      <c r="BC73" s="1507">
        <f>SUM(AQ73:BB73)</f>
        <v/>
      </c>
      <c r="BD73" s="1505" t="n"/>
      <c r="BE73" s="1505" t="n"/>
      <c r="BF73" s="1505" t="n"/>
      <c r="BG73" s="1505" t="n"/>
      <c r="BH73" s="1505" t="n"/>
      <c r="BI73" s="1505" t="n"/>
      <c r="BJ73" s="1505" t="n"/>
      <c r="BK73" s="1505" t="n"/>
      <c r="BL73" s="1505" t="n"/>
      <c r="BM73" s="1505" t="n"/>
      <c r="BN73" s="1505" t="n"/>
      <c r="BO73" s="1505" t="n"/>
      <c r="BP73" s="1507">
        <f>SUM(BD73:BO73)</f>
        <v/>
      </c>
      <c r="BQ73" s="1505" t="n"/>
      <c r="BR73" s="1505" t="n"/>
      <c r="BS73" s="1505" t="n"/>
      <c r="BT73" s="1505" t="n"/>
      <c r="BU73" s="1505" t="n"/>
      <c r="BV73" s="1505" t="n"/>
      <c r="BW73" s="1505" t="n"/>
      <c r="BX73" s="1505" t="n"/>
      <c r="BY73" s="1505" t="n"/>
      <c r="BZ73" s="1505" t="n"/>
      <c r="CA73" s="1505" t="n"/>
      <c r="CB73" s="1505" t="n"/>
      <c r="CC73" s="1507">
        <f>SUM(BQ73:CB73)</f>
        <v/>
      </c>
      <c r="CD73" s="1505" t="n"/>
      <c r="CE73" s="1505" t="n"/>
      <c r="CF73" s="1505" t="n"/>
      <c r="CG73" s="1505" t="n"/>
      <c r="CH73" s="1505" t="n"/>
      <c r="CI73" s="1505" t="n"/>
      <c r="CJ73" s="1505" t="n"/>
      <c r="CK73" s="1505" t="n"/>
      <c r="CL73" s="1505" t="n"/>
      <c r="CM73" s="1505" t="n"/>
      <c r="CN73" s="1505" t="n"/>
      <c r="CO73" s="1505" t="n"/>
      <c r="CP73" s="1507">
        <f>SUM(CD73:CO73)</f>
        <v/>
      </c>
      <c r="CQ73" s="1505" t="n"/>
      <c r="CR73" s="1505" t="n"/>
      <c r="CS73" s="1505" t="n"/>
      <c r="CT73" s="1505" t="n"/>
      <c r="CU73" s="1505" t="n"/>
      <c r="CV73" s="1505" t="n"/>
      <c r="CW73" s="1505" t="n"/>
      <c r="CX73" s="1505" t="n"/>
      <c r="CY73" s="1505" t="n"/>
      <c r="CZ73" s="1505" t="n"/>
      <c r="DA73" s="1505" t="n"/>
      <c r="DB73" s="1505" t="n"/>
      <c r="DC73" s="1507">
        <f>SUM(CQ73:DB73)</f>
        <v/>
      </c>
      <c r="DD73" s="1505" t="n"/>
      <c r="DE73" s="1505" t="n"/>
      <c r="DF73" s="1505" t="n"/>
      <c r="DG73" s="1505" t="n"/>
      <c r="DH73" s="1505" t="n"/>
      <c r="DI73" s="1505" t="n"/>
      <c r="DJ73" s="1505" t="n"/>
      <c r="DK73" s="1505" t="n"/>
      <c r="DL73" s="1505" t="n"/>
      <c r="DM73" s="1505" t="n"/>
      <c r="DN73" s="1505" t="n"/>
      <c r="DO73" s="1505" t="n"/>
      <c r="DP73" s="1507">
        <f>SUM(DD73:DO73)</f>
        <v/>
      </c>
    </row>
    <row r="74">
      <c r="B74" s="720" t="n"/>
      <c r="C74" s="1550">
        <f>SUM(C72:C73)</f>
        <v/>
      </c>
      <c r="D74" s="1550">
        <f>SUM(D72:D73)</f>
        <v/>
      </c>
      <c r="E74" s="1550">
        <f>SUM(E72:E73)</f>
        <v/>
      </c>
      <c r="F74" s="1550">
        <f>SUM(F72:F73)</f>
        <v/>
      </c>
      <c r="G74" s="1550">
        <f>SUM(G72:G73)</f>
        <v/>
      </c>
      <c r="H74" s="1550">
        <f>SUM(H72:H73)</f>
        <v/>
      </c>
      <c r="I74" s="1550">
        <f>SUM(I72:I73)</f>
        <v/>
      </c>
      <c r="J74" s="1550">
        <f>SUM(J72:J73)</f>
        <v/>
      </c>
      <c r="K74" s="1550">
        <f>SUM(K72:K73)</f>
        <v/>
      </c>
      <c r="L74" s="1550">
        <f>SUM(L72:L73)</f>
        <v/>
      </c>
      <c r="M74" s="1550">
        <f>SUM(M72:M73)</f>
        <v/>
      </c>
      <c r="N74" s="1550">
        <f>SUM(N72:N73)</f>
        <v/>
      </c>
      <c r="O74" s="1550">
        <f>SUM(O72:O73)</f>
        <v/>
      </c>
      <c r="P74" s="1507">
        <f>SUM(C74:O74)</f>
        <v/>
      </c>
      <c r="Q74" s="1550">
        <f>SUM(Q72:Q73)</f>
        <v/>
      </c>
      <c r="R74" s="1550">
        <f>SUM(R72:R73)</f>
        <v/>
      </c>
      <c r="S74" s="1550">
        <f>SUM(S72:S73)</f>
        <v/>
      </c>
      <c r="T74" s="1550">
        <f>SUM(T72:T73)</f>
        <v/>
      </c>
      <c r="U74" s="1550">
        <f>SUM(U72:U73)</f>
        <v/>
      </c>
      <c r="V74" s="1550">
        <f>SUM(V72:V73)</f>
        <v/>
      </c>
      <c r="W74" s="1550">
        <f>SUM(W72:W73)</f>
        <v/>
      </c>
      <c r="X74" s="1550">
        <f>SUM(X72:X73)</f>
        <v/>
      </c>
      <c r="Y74" s="1550">
        <f>SUM(Y72:Y73)</f>
        <v/>
      </c>
      <c r="Z74" s="1550">
        <f>SUM(Z72:Z73)</f>
        <v/>
      </c>
      <c r="AA74" s="1550">
        <f>SUM(AA72:AA73)</f>
        <v/>
      </c>
      <c r="AB74" s="1550">
        <f>SUM(AB72:AB73)</f>
        <v/>
      </c>
      <c r="AC74" s="1507">
        <f>SUM(Q74:AB74)</f>
        <v/>
      </c>
      <c r="AD74" s="1550">
        <f>SUM(AD72:AD73)</f>
        <v/>
      </c>
      <c r="AE74" s="1550">
        <f>SUM(AE72:AE73)</f>
        <v/>
      </c>
      <c r="AF74" s="1550">
        <f>SUM(AF72:AF73)</f>
        <v/>
      </c>
      <c r="AG74" s="1550">
        <f>SUM(AG72:AG73)</f>
        <v/>
      </c>
      <c r="AH74" s="1550">
        <f>SUM(AH72:AH73)</f>
        <v/>
      </c>
      <c r="AI74" s="1550">
        <f>SUM(AI72:AI73)</f>
        <v/>
      </c>
      <c r="AJ74" s="1550">
        <f>SUM(AJ72:AJ73)</f>
        <v/>
      </c>
      <c r="AK74" s="1550">
        <f>SUM(AK72:AK73)</f>
        <v/>
      </c>
      <c r="AL74" s="1550">
        <f>SUM(AL72:AL73)</f>
        <v/>
      </c>
      <c r="AM74" s="1550">
        <f>SUM(AM72:AM73)</f>
        <v/>
      </c>
      <c r="AN74" s="1550">
        <f>SUM(AN72:AN73)</f>
        <v/>
      </c>
      <c r="AO74" s="1550">
        <f>SUM(AO72:AO73)</f>
        <v/>
      </c>
      <c r="AP74" s="1507">
        <f>SUM(AD74:AO74)</f>
        <v/>
      </c>
      <c r="AQ74" s="1550">
        <f>SUM(AQ72:AQ73)</f>
        <v/>
      </c>
      <c r="AR74" s="1550">
        <f>SUM(AR72:AR73)</f>
        <v/>
      </c>
      <c r="AS74" s="1550">
        <f>SUM(AS72:AS73)</f>
        <v/>
      </c>
      <c r="AT74" s="1550">
        <f>SUM(AT72:AT73)</f>
        <v/>
      </c>
      <c r="AU74" s="1550">
        <f>SUM(AU72:AU73)</f>
        <v/>
      </c>
      <c r="AV74" s="1550">
        <f>SUM(AV72:AV73)</f>
        <v/>
      </c>
      <c r="AW74" s="1550">
        <f>SUM(AW72:AW73)</f>
        <v/>
      </c>
      <c r="AX74" s="1550">
        <f>SUM(AX72:AX73)</f>
        <v/>
      </c>
      <c r="AY74" s="1550">
        <f>SUM(AY72:AY73)</f>
        <v/>
      </c>
      <c r="AZ74" s="1550">
        <f>SUM(AZ72:AZ73)</f>
        <v/>
      </c>
      <c r="BA74" s="1550">
        <f>SUM(BA72:BA73)</f>
        <v/>
      </c>
      <c r="BB74" s="1550">
        <f>SUM(BB72:BB73)</f>
        <v/>
      </c>
      <c r="BC74" s="1507">
        <f>SUM(AQ74:BB74)</f>
        <v/>
      </c>
      <c r="BD74" s="1550">
        <f>SUM(BD72:BD73)</f>
        <v/>
      </c>
      <c r="BE74" s="1550">
        <f>SUM(BE72:BE73)</f>
        <v/>
      </c>
      <c r="BF74" s="1550">
        <f>SUM(BF72:BF73)</f>
        <v/>
      </c>
      <c r="BG74" s="1550">
        <f>SUM(BG72:BG73)</f>
        <v/>
      </c>
      <c r="BH74" s="1550">
        <f>SUM(BH72:BH73)</f>
        <v/>
      </c>
      <c r="BI74" s="1550">
        <f>SUM(BI72:BI73)</f>
        <v/>
      </c>
      <c r="BJ74" s="1550">
        <f>SUM(BJ72:BJ73)</f>
        <v/>
      </c>
      <c r="BK74" s="1550">
        <f>SUM(BK72:BK73)</f>
        <v/>
      </c>
      <c r="BL74" s="1550">
        <f>SUM(BL72:BL73)</f>
        <v/>
      </c>
      <c r="BM74" s="1550">
        <f>SUM(BM72:BM73)</f>
        <v/>
      </c>
      <c r="BN74" s="1550">
        <f>SUM(BN72:BN73)</f>
        <v/>
      </c>
      <c r="BO74" s="1550">
        <f>SUM(BO72:BO73)</f>
        <v/>
      </c>
      <c r="BP74" s="1507">
        <f>SUM(BD74:BO74)</f>
        <v/>
      </c>
      <c r="BQ74" s="1550">
        <f>SUM(BQ72:BQ73)</f>
        <v/>
      </c>
      <c r="BR74" s="1550">
        <f>SUM(BR72:BR73)</f>
        <v/>
      </c>
      <c r="BS74" s="1550">
        <f>SUM(BS72:BS73)</f>
        <v/>
      </c>
      <c r="BT74" s="1550">
        <f>SUM(BT72:BT73)</f>
        <v/>
      </c>
      <c r="BU74" s="1550">
        <f>SUM(BU72:BU73)</f>
        <v/>
      </c>
      <c r="BV74" s="1550">
        <f>SUM(BV72:BV73)</f>
        <v/>
      </c>
      <c r="BW74" s="1550">
        <f>SUM(BW72:BW73)</f>
        <v/>
      </c>
      <c r="BX74" s="1550">
        <f>SUM(BX72:BX73)</f>
        <v/>
      </c>
      <c r="BY74" s="1550">
        <f>SUM(BY72:BY73)</f>
        <v/>
      </c>
      <c r="BZ74" s="1550">
        <f>SUM(BZ72:BZ73)</f>
        <v/>
      </c>
      <c r="CA74" s="1550">
        <f>SUM(CA72:CA73)</f>
        <v/>
      </c>
      <c r="CB74" s="1550">
        <f>SUM(CB72:CB73)</f>
        <v/>
      </c>
      <c r="CC74" s="1507">
        <f>SUM(BQ74:CB74)</f>
        <v/>
      </c>
      <c r="CD74" s="1550">
        <f>SUM(CD72:CD73)</f>
        <v/>
      </c>
      <c r="CE74" s="1550">
        <f>SUM(CE72:CE73)</f>
        <v/>
      </c>
      <c r="CF74" s="1550">
        <f>SUM(CF72:CF73)</f>
        <v/>
      </c>
      <c r="CG74" s="1550">
        <f>SUM(CG72:CG73)</f>
        <v/>
      </c>
      <c r="CH74" s="1550">
        <f>SUM(CH72:CH73)</f>
        <v/>
      </c>
      <c r="CI74" s="1550">
        <f>SUM(CI72:CI73)</f>
        <v/>
      </c>
      <c r="CJ74" s="1550">
        <f>SUM(CJ72:CJ73)</f>
        <v/>
      </c>
      <c r="CK74" s="1550">
        <f>SUM(CK72:CK73)</f>
        <v/>
      </c>
      <c r="CL74" s="1550">
        <f>SUM(CL72:CL73)</f>
        <v/>
      </c>
      <c r="CM74" s="1550">
        <f>SUM(CM72:CM73)</f>
        <v/>
      </c>
      <c r="CN74" s="1550">
        <f>SUM(CN72:CN73)</f>
        <v/>
      </c>
      <c r="CO74" s="1550">
        <f>SUM(CO72:CO73)</f>
        <v/>
      </c>
      <c r="CP74" s="1507">
        <f>SUM(CD74:CO74)</f>
        <v/>
      </c>
      <c r="CQ74" s="1550">
        <f>SUM(CQ72:CQ73)</f>
        <v/>
      </c>
      <c r="CR74" s="1550">
        <f>SUM(CR72:CR73)</f>
        <v/>
      </c>
      <c r="CS74" s="1550">
        <f>SUM(CS72:CS73)</f>
        <v/>
      </c>
      <c r="CT74" s="1550">
        <f>SUM(CT72:CT73)</f>
        <v/>
      </c>
      <c r="CU74" s="1550">
        <f>SUM(CU72:CU73)</f>
        <v/>
      </c>
      <c r="CV74" s="1550">
        <f>SUM(CV72:CV73)</f>
        <v/>
      </c>
      <c r="CW74" s="1550">
        <f>SUM(CW72:CW73)</f>
        <v/>
      </c>
      <c r="CX74" s="1550">
        <f>SUM(CX72:CX73)</f>
        <v/>
      </c>
      <c r="CY74" s="1550">
        <f>SUM(CY72:CY73)</f>
        <v/>
      </c>
      <c r="CZ74" s="1550">
        <f>SUM(CZ72:CZ73)</f>
        <v/>
      </c>
      <c r="DA74" s="1550">
        <f>SUM(DA72:DA73)</f>
        <v/>
      </c>
      <c r="DB74" s="1550">
        <f>SUM(DB72:DB73)</f>
        <v/>
      </c>
      <c r="DC74" s="1507">
        <f>SUM(CQ74:DB74)</f>
        <v/>
      </c>
      <c r="DD74" s="1550">
        <f>SUM(DD72:DD73)</f>
        <v/>
      </c>
      <c r="DE74" s="1550">
        <f>SUM(DE72:DE73)</f>
        <v/>
      </c>
      <c r="DF74" s="1550">
        <f>SUM(DF72:DF73)</f>
        <v/>
      </c>
      <c r="DG74" s="1550">
        <f>SUM(DG72:DG73)</f>
        <v/>
      </c>
      <c r="DH74" s="1550">
        <f>SUM(DH72:DH73)</f>
        <v/>
      </c>
      <c r="DI74" s="1550">
        <f>SUM(DI72:DI73)</f>
        <v/>
      </c>
      <c r="DJ74" s="1550">
        <f>SUM(DJ72:DJ73)</f>
        <v/>
      </c>
      <c r="DK74" s="1550">
        <f>SUM(DK72:DK73)</f>
        <v/>
      </c>
      <c r="DL74" s="1550">
        <f>SUM(DL72:DL73)</f>
        <v/>
      </c>
      <c r="DM74" s="1550">
        <f>SUM(DM72:DM73)</f>
        <v/>
      </c>
      <c r="DN74" s="1550">
        <f>SUM(DN72:DN73)</f>
        <v/>
      </c>
      <c r="DO74" s="1550">
        <f>SUM(DO72:DO73)</f>
        <v/>
      </c>
      <c r="DP74" s="1507">
        <f>SUM(DD74:DO74)</f>
        <v/>
      </c>
    </row>
    <row r="75">
      <c r="C75" s="1508" t="n"/>
      <c r="D75" s="1508" t="n"/>
      <c r="E75" s="1508" t="n"/>
      <c r="F75" s="1508" t="n"/>
      <c r="G75" s="1508" t="n"/>
      <c r="H75" s="1508" t="n"/>
      <c r="I75" s="1508" t="n"/>
      <c r="J75" s="1508" t="n"/>
      <c r="K75" s="1508" t="n"/>
      <c r="L75" s="1508" t="n"/>
      <c r="M75" s="1508" t="n"/>
      <c r="N75" s="1508" t="n"/>
      <c r="O75" s="1508" t="n"/>
      <c r="P75" s="1508" t="n"/>
      <c r="Q75" s="1508" t="n"/>
      <c r="R75" s="1508" t="n"/>
      <c r="S75" s="1508" t="n"/>
      <c r="T75" s="1508" t="n"/>
      <c r="U75" s="1508" t="n"/>
      <c r="V75" s="1508" t="n"/>
      <c r="W75" s="1508" t="n"/>
      <c r="X75" s="1508" t="n"/>
      <c r="Y75" s="1508" t="n"/>
      <c r="Z75" s="1508" t="n"/>
      <c r="AA75" s="1508" t="n"/>
      <c r="AB75" s="1508" t="n"/>
      <c r="AC75" s="1508" t="n"/>
      <c r="AD75" s="1508" t="n"/>
      <c r="AE75" s="1508" t="n"/>
      <c r="AF75" s="1508" t="n"/>
      <c r="AG75" s="1508" t="n"/>
      <c r="AH75" s="1508" t="n"/>
      <c r="AI75" s="1508" t="n"/>
      <c r="AJ75" s="1508" t="n"/>
      <c r="AK75" s="1508" t="n"/>
      <c r="AL75" s="1508" t="n"/>
      <c r="AM75" s="1508" t="n"/>
      <c r="AN75" s="1508" t="n"/>
      <c r="AO75" s="1508" t="n"/>
      <c r="AP75" s="1508" t="n"/>
      <c r="AQ75" s="1508" t="n"/>
      <c r="AR75" s="1508" t="n"/>
      <c r="AS75" s="1508" t="n"/>
      <c r="AT75" s="1508" t="n"/>
      <c r="AU75" s="1508" t="n"/>
      <c r="AV75" s="1508" t="n"/>
      <c r="AW75" s="1508" t="n"/>
      <c r="AX75" s="1508" t="n"/>
      <c r="AY75" s="1508" t="n"/>
      <c r="AZ75" s="1508" t="n"/>
      <c r="BA75" s="1508" t="n"/>
      <c r="BB75" s="1508" t="n"/>
      <c r="BC75" s="1508" t="n"/>
      <c r="BD75" s="1508" t="n"/>
      <c r="BE75" s="1508" t="n"/>
      <c r="BF75" s="1508" t="n"/>
      <c r="BG75" s="1508" t="n"/>
      <c r="BH75" s="1508" t="n"/>
      <c r="BI75" s="1508" t="n"/>
      <c r="BJ75" s="1508" t="n"/>
      <c r="BK75" s="1508" t="n"/>
      <c r="BL75" s="1508" t="n"/>
      <c r="BM75" s="1508" t="n"/>
      <c r="BN75" s="1508" t="n"/>
      <c r="BO75" s="1508" t="n"/>
      <c r="BP75" s="1508" t="n"/>
      <c r="BQ75" s="1508" t="n"/>
      <c r="BR75" s="1508" t="n"/>
      <c r="BS75" s="1508" t="n"/>
      <c r="BT75" s="1508" t="n"/>
      <c r="BU75" s="1508" t="n"/>
      <c r="BV75" s="1508" t="n"/>
      <c r="BW75" s="1508" t="n"/>
      <c r="BX75" s="1508" t="n"/>
      <c r="BY75" s="1508" t="n"/>
      <c r="BZ75" s="1508" t="n"/>
      <c r="CA75" s="1508" t="n"/>
      <c r="CB75" s="1508" t="n"/>
      <c r="CC75" s="1508" t="n"/>
      <c r="CD75" s="1508" t="n"/>
      <c r="CE75" s="1508" t="n"/>
      <c r="CF75" s="1508" t="n"/>
      <c r="CG75" s="1508" t="n"/>
      <c r="CH75" s="1508" t="n"/>
      <c r="CI75" s="1508" t="n"/>
      <c r="CJ75" s="1508" t="n"/>
      <c r="CK75" s="1508" t="n"/>
      <c r="CL75" s="1508" t="n"/>
      <c r="CM75" s="1508" t="n"/>
      <c r="CN75" s="1508" t="n"/>
      <c r="CO75" s="1508" t="n"/>
      <c r="CP75" s="1508" t="n"/>
      <c r="CQ75" s="1508" t="n"/>
      <c r="CR75" s="1508" t="n"/>
      <c r="CS75" s="1508" t="n"/>
      <c r="CT75" s="1508" t="n"/>
      <c r="CU75" s="1508" t="n"/>
      <c r="CV75" s="1508" t="n"/>
      <c r="CW75" s="1508" t="n"/>
      <c r="CX75" s="1508" t="n"/>
      <c r="CY75" s="1508" t="n"/>
      <c r="CZ75" s="1508" t="n"/>
      <c r="DA75" s="1508" t="n"/>
      <c r="DB75" s="1508" t="n"/>
      <c r="DC75" s="1508" t="n"/>
      <c r="DD75" s="1508" t="n"/>
      <c r="DE75" s="1508" t="n"/>
      <c r="DF75" s="1508" t="n"/>
      <c r="DG75" s="1508" t="n"/>
      <c r="DH75" s="1508" t="n"/>
      <c r="DI75" s="1508" t="n"/>
      <c r="DJ75" s="1508" t="n"/>
      <c r="DK75" s="1508" t="n"/>
      <c r="DL75" s="1508" t="n"/>
      <c r="DM75" s="1508" t="n"/>
      <c r="DN75" s="1508" t="n"/>
      <c r="DO75" s="1508" t="n"/>
      <c r="DP75" s="1508" t="n"/>
    </row>
    <row r="76" ht="15.75" customHeight="1" thickBot="1">
      <c r="B76" s="712" t="n"/>
      <c r="C76" s="1554" t="n"/>
      <c r="D76" s="1554" t="n"/>
      <c r="E76" s="1554" t="n"/>
      <c r="F76" s="1554" t="n"/>
      <c r="G76" s="1554" t="n"/>
      <c r="H76" s="1554" t="n"/>
      <c r="I76" s="1554" t="n"/>
      <c r="J76" s="1554" t="n"/>
      <c r="K76" s="1554" t="n"/>
      <c r="L76" s="1554" t="n"/>
      <c r="M76" s="1554" t="n"/>
      <c r="N76" s="1554" t="n"/>
      <c r="O76" s="1554" t="n"/>
      <c r="P76" s="1554" t="n"/>
      <c r="Q76" s="1554" t="n"/>
      <c r="R76" s="1554" t="n"/>
      <c r="S76" s="1554" t="n"/>
      <c r="T76" s="1554" t="n"/>
      <c r="U76" s="1554" t="n"/>
      <c r="V76" s="1554" t="n"/>
      <c r="W76" s="1554" t="n"/>
      <c r="X76" s="1554" t="n"/>
      <c r="Y76" s="1554" t="n"/>
      <c r="Z76" s="1554" t="n"/>
      <c r="AA76" s="1554" t="n"/>
      <c r="AB76" s="1554" t="n"/>
      <c r="AC76" s="1554" t="n"/>
      <c r="AD76" s="1554" t="n"/>
      <c r="AE76" s="1554" t="n"/>
      <c r="AF76" s="1554" t="n"/>
      <c r="AG76" s="1554" t="n"/>
      <c r="AH76" s="1554" t="n"/>
      <c r="AI76" s="1554" t="n"/>
      <c r="AJ76" s="1554" t="n"/>
      <c r="AK76" s="1554" t="n"/>
      <c r="AL76" s="1554" t="n"/>
      <c r="AM76" s="1554" t="n"/>
      <c r="AN76" s="1554" t="n"/>
      <c r="AO76" s="1554" t="n"/>
      <c r="AP76" s="1554" t="n"/>
      <c r="AQ76" s="1554" t="n"/>
      <c r="AR76" s="1554" t="n"/>
      <c r="AS76" s="1554" t="n"/>
      <c r="AT76" s="1554" t="n"/>
      <c r="AU76" s="1554" t="n"/>
      <c r="AV76" s="1554" t="n"/>
      <c r="AW76" s="1554" t="n"/>
      <c r="AX76" s="1554" t="n"/>
      <c r="AY76" s="1554" t="n"/>
      <c r="AZ76" s="1554" t="n"/>
      <c r="BA76" s="1554" t="n"/>
      <c r="BB76" s="1554" t="n"/>
      <c r="BC76" s="1554" t="n"/>
      <c r="BD76" s="1554" t="n"/>
      <c r="BE76" s="1554" t="n"/>
      <c r="BF76" s="1554" t="n"/>
      <c r="BG76" s="1554" t="n"/>
      <c r="BH76" s="1554" t="n"/>
      <c r="BI76" s="1554" t="n"/>
      <c r="BJ76" s="1554" t="n"/>
      <c r="BK76" s="1554" t="n"/>
      <c r="BL76" s="1554" t="n"/>
      <c r="BM76" s="1554" t="n"/>
      <c r="BN76" s="1554" t="n"/>
      <c r="BO76" s="1554" t="n"/>
      <c r="BP76" s="1554" t="n"/>
      <c r="BQ76" s="1554" t="n"/>
      <c r="BR76" s="1554" t="n"/>
      <c r="BS76" s="1554" t="n"/>
      <c r="BT76" s="1554" t="n"/>
      <c r="BU76" s="1554" t="n"/>
      <c r="BV76" s="1554" t="n"/>
      <c r="BW76" s="1554" t="n"/>
      <c r="BX76" s="1554" t="n"/>
      <c r="BY76" s="1554" t="n"/>
      <c r="BZ76" s="1554" t="n"/>
      <c r="CA76" s="1554" t="n"/>
      <c r="CB76" s="1554" t="n"/>
      <c r="CC76" s="1554" t="n"/>
      <c r="CD76" s="1554" t="n"/>
      <c r="CE76" s="1554" t="n"/>
      <c r="CF76" s="1554" t="n"/>
      <c r="CG76" s="1554" t="n"/>
      <c r="CH76" s="1554" t="n"/>
      <c r="CI76" s="1554" t="n"/>
      <c r="CJ76" s="1554" t="n"/>
      <c r="CK76" s="1554" t="n"/>
      <c r="CL76" s="1554" t="n"/>
      <c r="CM76" s="1554" t="n"/>
      <c r="CN76" s="1554" t="n"/>
      <c r="CO76" s="1554" t="n"/>
      <c r="CP76" s="1554" t="n"/>
      <c r="CQ76" s="1554" t="n"/>
      <c r="CR76" s="1554" t="n"/>
      <c r="CS76" s="1554" t="n"/>
      <c r="CT76" s="1554" t="n"/>
      <c r="CU76" s="1554" t="n"/>
      <c r="CV76" s="1554" t="n"/>
      <c r="CW76" s="1554" t="n"/>
      <c r="CX76" s="1554" t="n"/>
      <c r="CY76" s="1554" t="n"/>
      <c r="CZ76" s="1554" t="n"/>
      <c r="DA76" s="1554" t="n"/>
      <c r="DB76" s="1554" t="n"/>
      <c r="DC76" s="1554" t="n"/>
      <c r="DD76" s="1554" t="n"/>
      <c r="DE76" s="1554" t="n"/>
      <c r="DF76" s="1554" t="n"/>
      <c r="DG76" s="1554" t="n"/>
      <c r="DH76" s="1554" t="n"/>
      <c r="DI76" s="1554" t="n"/>
      <c r="DJ76" s="1554" t="n"/>
      <c r="DK76" s="1554" t="n"/>
      <c r="DL76" s="1554" t="n"/>
      <c r="DM76" s="1554" t="n"/>
      <c r="DN76" s="1554" t="n"/>
      <c r="DO76" s="1554" t="n"/>
      <c r="DP76" s="1554" t="n"/>
    </row>
    <row r="77" ht="15.75" customHeight="1" thickTop="1">
      <c r="B77" s="724" t="n"/>
      <c r="C77" s="1505" t="n"/>
      <c r="D77" s="1505" t="n"/>
      <c r="E77" s="1505" t="n"/>
      <c r="F77" s="1505" t="n"/>
      <c r="G77" s="1505" t="n"/>
      <c r="H77" s="1505" t="n"/>
      <c r="I77" s="1505" t="n"/>
      <c r="J77" s="1505" t="n"/>
      <c r="K77" s="1505" t="n"/>
      <c r="L77" s="1505" t="n"/>
      <c r="M77" s="1505" t="n"/>
      <c r="N77" s="1505" t="n"/>
      <c r="O77" s="1505" t="n"/>
      <c r="P77" s="1507">
        <f>SUM(C77:O77)</f>
        <v/>
      </c>
      <c r="Q77" s="1505" t="n"/>
      <c r="R77" s="1505" t="n"/>
      <c r="S77" s="1505" t="n"/>
      <c r="T77" s="1505" t="n"/>
      <c r="U77" s="1505" t="n"/>
      <c r="V77" s="1505" t="n"/>
      <c r="W77" s="1505" t="n"/>
      <c r="X77" s="1505" t="n"/>
      <c r="Y77" s="1505" t="n"/>
      <c r="Z77" s="1505" t="n"/>
      <c r="AA77" s="1505" t="n"/>
      <c r="AB77" s="1505" t="n"/>
      <c r="AC77" s="1507">
        <f>SUM(Q77:AB77)</f>
        <v/>
      </c>
      <c r="AD77" s="1505" t="n"/>
      <c r="AE77" s="1505" t="n"/>
      <c r="AF77" s="1505" t="n"/>
      <c r="AG77" s="1505" t="n"/>
      <c r="AH77" s="1505" t="n"/>
      <c r="AI77" s="1505" t="n"/>
      <c r="AJ77" s="1505" t="n"/>
      <c r="AK77" s="1505" t="n"/>
      <c r="AL77" s="1505" t="n"/>
      <c r="AM77" s="1505" t="n"/>
      <c r="AN77" s="1505" t="n"/>
      <c r="AO77" s="1505" t="n"/>
      <c r="AP77" s="1507">
        <f>SUM(AD77:AO77)</f>
        <v/>
      </c>
      <c r="AQ77" s="1505" t="n"/>
      <c r="AR77" s="1505" t="n"/>
      <c r="AS77" s="1505" t="n"/>
      <c r="AT77" s="1505" t="n"/>
      <c r="AU77" s="1505" t="n"/>
      <c r="AV77" s="1505" t="n"/>
      <c r="AW77" s="1505" t="n"/>
      <c r="AX77" s="1505" t="n"/>
      <c r="AY77" s="1505" t="n"/>
      <c r="AZ77" s="1505" t="n"/>
      <c r="BA77" s="1505" t="n"/>
      <c r="BB77" s="1505" t="n"/>
      <c r="BC77" s="1507">
        <f>SUM(AQ77:BB77)</f>
        <v/>
      </c>
      <c r="BD77" s="1505" t="n"/>
      <c r="BE77" s="1505" t="n"/>
      <c r="BF77" s="1505" t="n"/>
      <c r="BG77" s="1505" t="n"/>
      <c r="BH77" s="1505" t="n"/>
      <c r="BI77" s="1505" t="n"/>
      <c r="BJ77" s="1505" t="n"/>
      <c r="BK77" s="1505" t="n"/>
      <c r="BL77" s="1505" t="n"/>
      <c r="BM77" s="1505" t="n"/>
      <c r="BN77" s="1505" t="n"/>
      <c r="BO77" s="1505" t="n"/>
      <c r="BP77" s="1507">
        <f>SUM(BD77:BO77)</f>
        <v/>
      </c>
      <c r="BQ77" s="1505" t="n"/>
      <c r="BR77" s="1505" t="n"/>
      <c r="BS77" s="1505" t="n"/>
      <c r="BT77" s="1505" t="n"/>
      <c r="BU77" s="1505" t="n"/>
      <c r="BV77" s="1505" t="n"/>
      <c r="BW77" s="1505" t="n"/>
      <c r="BX77" s="1505" t="n"/>
      <c r="BY77" s="1505" t="n"/>
      <c r="BZ77" s="1505" t="n"/>
      <c r="CA77" s="1505" t="n"/>
      <c r="CB77" s="1505" t="n"/>
      <c r="CC77" s="1507">
        <f>SUM(BQ77:CB77)</f>
        <v/>
      </c>
      <c r="CD77" s="1505" t="n"/>
      <c r="CE77" s="1505" t="n"/>
      <c r="CF77" s="1505" t="n"/>
      <c r="CG77" s="1505" t="n"/>
      <c r="CH77" s="1505" t="n"/>
      <c r="CI77" s="1505" t="n"/>
      <c r="CJ77" s="1505" t="n"/>
      <c r="CK77" s="1505" t="n"/>
      <c r="CL77" s="1505" t="n"/>
      <c r="CM77" s="1505" t="n"/>
      <c r="CN77" s="1505" t="n"/>
      <c r="CO77" s="1505" t="n"/>
      <c r="CP77" s="1507">
        <f>SUM(CD77:CO77)</f>
        <v/>
      </c>
      <c r="CQ77" s="1505" t="n"/>
      <c r="CR77" s="1505" t="n"/>
      <c r="CS77" s="1505" t="n"/>
      <c r="CT77" s="1505" t="n"/>
      <c r="CU77" s="1505" t="n"/>
      <c r="CV77" s="1505" t="n"/>
      <c r="CW77" s="1505" t="n"/>
      <c r="CX77" s="1505" t="n"/>
      <c r="CY77" s="1505" t="n"/>
      <c r="CZ77" s="1505" t="n"/>
      <c r="DA77" s="1505" t="n"/>
      <c r="DB77" s="1505" t="n"/>
      <c r="DC77" s="1507">
        <f>SUM(CQ77:DB77)</f>
        <v/>
      </c>
      <c r="DD77" s="1505" t="n"/>
      <c r="DE77" s="1505" t="n"/>
      <c r="DF77" s="1505" t="n"/>
      <c r="DG77" s="1505" t="n"/>
      <c r="DH77" s="1505" t="n"/>
      <c r="DI77" s="1505" t="n"/>
      <c r="DJ77" s="1505" t="n"/>
      <c r="DK77" s="1505" t="n"/>
      <c r="DL77" s="1505" t="n"/>
      <c r="DM77" s="1505" t="n"/>
      <c r="DN77" s="1505" t="n"/>
      <c r="DO77" s="1505" t="n"/>
      <c r="DP77" s="1507">
        <f>SUM(DD77:DO77)</f>
        <v/>
      </c>
    </row>
    <row r="78">
      <c r="B78" s="724" t="n"/>
      <c r="C78" s="1505" t="n"/>
      <c r="D78" s="1505" t="n"/>
      <c r="E78" s="1505" t="n"/>
      <c r="F78" s="1505" t="n"/>
      <c r="G78" s="1505" t="n"/>
      <c r="H78" s="1505" t="n"/>
      <c r="I78" s="1505" t="n"/>
      <c r="J78" s="1505" t="n"/>
      <c r="K78" s="1505" t="n"/>
      <c r="L78" s="1505" t="n"/>
      <c r="M78" s="1505" t="n"/>
      <c r="N78" s="1505" t="n"/>
      <c r="O78" s="1505" t="n"/>
      <c r="P78" s="1507">
        <f>SUM(C78:O78)</f>
        <v/>
      </c>
      <c r="Q78" s="1505" t="n"/>
      <c r="R78" s="1505" t="n"/>
      <c r="S78" s="1505" t="n"/>
      <c r="T78" s="1505" t="n"/>
      <c r="U78" s="1505" t="n"/>
      <c r="V78" s="1505" t="n"/>
      <c r="W78" s="1505" t="n"/>
      <c r="X78" s="1505" t="n"/>
      <c r="Y78" s="1505" t="n"/>
      <c r="Z78" s="1505" t="n"/>
      <c r="AA78" s="1505" t="n"/>
      <c r="AB78" s="1505" t="n"/>
      <c r="AC78" s="1507">
        <f>SUM(Q78:AB78)</f>
        <v/>
      </c>
      <c r="AD78" s="1505" t="n"/>
      <c r="AE78" s="1505" t="n"/>
      <c r="AF78" s="1505" t="n"/>
      <c r="AG78" s="1505" t="n"/>
      <c r="AH78" s="1505" t="n"/>
      <c r="AI78" s="1505" t="n"/>
      <c r="AJ78" s="1505" t="n"/>
      <c r="AK78" s="1505" t="n"/>
      <c r="AL78" s="1505" t="n"/>
      <c r="AM78" s="1505" t="n"/>
      <c r="AN78" s="1505" t="n"/>
      <c r="AO78" s="1505" t="n"/>
      <c r="AP78" s="1507">
        <f>SUM(AD78:AO78)</f>
        <v/>
      </c>
      <c r="AQ78" s="1505" t="n"/>
      <c r="AR78" s="1505" t="n"/>
      <c r="AS78" s="1505" t="n"/>
      <c r="AT78" s="1505" t="n"/>
      <c r="AU78" s="1505" t="n"/>
      <c r="AV78" s="1505" t="n"/>
      <c r="AW78" s="1505" t="n"/>
      <c r="AX78" s="1505" t="n"/>
      <c r="AY78" s="1505" t="n"/>
      <c r="AZ78" s="1505" t="n"/>
      <c r="BA78" s="1505" t="n"/>
      <c r="BB78" s="1505" t="n"/>
      <c r="BC78" s="1507">
        <f>SUM(AQ78:BB78)</f>
        <v/>
      </c>
      <c r="BD78" s="1505" t="n"/>
      <c r="BE78" s="1505" t="n"/>
      <c r="BF78" s="1505" t="n"/>
      <c r="BG78" s="1505" t="n"/>
      <c r="BH78" s="1505" t="n"/>
      <c r="BI78" s="1505" t="n"/>
      <c r="BJ78" s="1505" t="n"/>
      <c r="BK78" s="1505" t="n"/>
      <c r="BL78" s="1505" t="n"/>
      <c r="BM78" s="1505" t="n"/>
      <c r="BN78" s="1505" t="n"/>
      <c r="BO78" s="1505" t="n"/>
      <c r="BP78" s="1507">
        <f>SUM(BD78:BO78)</f>
        <v/>
      </c>
      <c r="BQ78" s="1505" t="n"/>
      <c r="BR78" s="1505" t="n"/>
      <c r="BS78" s="1505" t="n"/>
      <c r="BT78" s="1505" t="n"/>
      <c r="BU78" s="1505" t="n"/>
      <c r="BV78" s="1505" t="n"/>
      <c r="BW78" s="1505" t="n"/>
      <c r="BX78" s="1505" t="n"/>
      <c r="BY78" s="1505" t="n"/>
      <c r="BZ78" s="1505" t="n"/>
      <c r="CA78" s="1505" t="n"/>
      <c r="CB78" s="1505" t="n"/>
      <c r="CC78" s="1507">
        <f>SUM(BQ78:CB78)</f>
        <v/>
      </c>
      <c r="CD78" s="1505" t="n"/>
      <c r="CE78" s="1505" t="n"/>
      <c r="CF78" s="1505" t="n"/>
      <c r="CG78" s="1505" t="n"/>
      <c r="CH78" s="1505" t="n"/>
      <c r="CI78" s="1505" t="n"/>
      <c r="CJ78" s="1505" t="n"/>
      <c r="CK78" s="1505" t="n"/>
      <c r="CL78" s="1505" t="n"/>
      <c r="CM78" s="1505" t="n"/>
      <c r="CN78" s="1505" t="n"/>
      <c r="CO78" s="1505" t="n"/>
      <c r="CP78" s="1507">
        <f>SUM(CD78:CO78)</f>
        <v/>
      </c>
      <c r="CQ78" s="1505" t="n"/>
      <c r="CR78" s="1505" t="n"/>
      <c r="CS78" s="1505" t="n"/>
      <c r="CT78" s="1505" t="n"/>
      <c r="CU78" s="1505" t="n"/>
      <c r="CV78" s="1505" t="n"/>
      <c r="CW78" s="1505" t="n"/>
      <c r="CX78" s="1505" t="n"/>
      <c r="CY78" s="1505" t="n"/>
      <c r="CZ78" s="1505" t="n"/>
      <c r="DA78" s="1505" t="n"/>
      <c r="DB78" s="1505" t="n"/>
      <c r="DC78" s="1507">
        <f>SUM(CQ78:DB78)</f>
        <v/>
      </c>
      <c r="DD78" s="1505" t="n"/>
      <c r="DE78" s="1505" t="n"/>
      <c r="DF78" s="1505" t="n"/>
      <c r="DG78" s="1505" t="n"/>
      <c r="DH78" s="1505" t="n"/>
      <c r="DI78" s="1505" t="n"/>
      <c r="DJ78" s="1505" t="n"/>
      <c r="DK78" s="1505" t="n"/>
      <c r="DL78" s="1505" t="n"/>
      <c r="DM78" s="1505" t="n"/>
      <c r="DN78" s="1505" t="n"/>
      <c r="DO78" s="1505" t="n"/>
      <c r="DP78" s="1507">
        <f>SUM(DD78:DO78)</f>
        <v/>
      </c>
    </row>
    <row r="79">
      <c r="B79" s="724" t="n"/>
      <c r="C79" s="1505" t="n"/>
      <c r="D79" s="1505" t="n"/>
      <c r="E79" s="1505" t="n"/>
      <c r="F79" s="1505" t="n"/>
      <c r="G79" s="1505" t="n"/>
      <c r="H79" s="1505" t="n"/>
      <c r="I79" s="1505" t="n"/>
      <c r="J79" s="1505" t="n"/>
      <c r="K79" s="1505" t="n"/>
      <c r="L79" s="1505" t="n"/>
      <c r="M79" s="1505" t="n"/>
      <c r="N79" s="1505" t="n"/>
      <c r="O79" s="1505" t="n"/>
      <c r="P79" s="1507">
        <f>SUM(C79:O79)</f>
        <v/>
      </c>
      <c r="Q79" s="1505" t="n"/>
      <c r="R79" s="1505" t="n"/>
      <c r="S79" s="1505" t="n"/>
      <c r="T79" s="1505" t="n"/>
      <c r="U79" s="1505" t="n"/>
      <c r="V79" s="1505" t="n"/>
      <c r="W79" s="1505" t="n"/>
      <c r="X79" s="1505" t="n"/>
      <c r="Y79" s="1505" t="n"/>
      <c r="Z79" s="1505" t="n"/>
      <c r="AA79" s="1505" t="n"/>
      <c r="AB79" s="1505" t="n"/>
      <c r="AC79" s="1507">
        <f>SUM(Q79:AB79)</f>
        <v/>
      </c>
      <c r="AD79" s="1505" t="n"/>
      <c r="AE79" s="1505" t="n"/>
      <c r="AF79" s="1505" t="n"/>
      <c r="AG79" s="1505" t="n"/>
      <c r="AH79" s="1505" t="n"/>
      <c r="AI79" s="1505" t="n"/>
      <c r="AJ79" s="1505" t="n"/>
      <c r="AK79" s="1505" t="n"/>
      <c r="AL79" s="1505" t="n"/>
      <c r="AM79" s="1505" t="n"/>
      <c r="AN79" s="1505" t="n"/>
      <c r="AO79" s="1505" t="n"/>
      <c r="AP79" s="1507">
        <f>SUM(AD79:AO79)</f>
        <v/>
      </c>
      <c r="AQ79" s="1505" t="n"/>
      <c r="AR79" s="1505" t="n"/>
      <c r="AS79" s="1505" t="n"/>
      <c r="AT79" s="1505" t="n"/>
      <c r="AU79" s="1505" t="n"/>
      <c r="AV79" s="1505" t="n"/>
      <c r="AW79" s="1505" t="n"/>
      <c r="AX79" s="1505" t="n"/>
      <c r="AY79" s="1505" t="n"/>
      <c r="AZ79" s="1505" t="n"/>
      <c r="BA79" s="1505" t="n"/>
      <c r="BB79" s="1505" t="n"/>
      <c r="BC79" s="1507">
        <f>SUM(AQ79:BB79)</f>
        <v/>
      </c>
      <c r="BD79" s="1505" t="n"/>
      <c r="BE79" s="1505" t="n"/>
      <c r="BF79" s="1505" t="n"/>
      <c r="BG79" s="1505" t="n"/>
      <c r="BH79" s="1505" t="n"/>
      <c r="BI79" s="1505" t="n"/>
      <c r="BJ79" s="1505" t="n"/>
      <c r="BK79" s="1505" t="n"/>
      <c r="BL79" s="1505" t="n"/>
      <c r="BM79" s="1505" t="n"/>
      <c r="BN79" s="1505" t="n"/>
      <c r="BO79" s="1505" t="n"/>
      <c r="BP79" s="1507">
        <f>SUM(BD79:BO79)</f>
        <v/>
      </c>
      <c r="BQ79" s="1505" t="n"/>
      <c r="BR79" s="1505" t="n"/>
      <c r="BS79" s="1505" t="n"/>
      <c r="BT79" s="1505" t="n"/>
      <c r="BU79" s="1505" t="n"/>
      <c r="BV79" s="1505" t="n"/>
      <c r="BW79" s="1505" t="n"/>
      <c r="BX79" s="1505" t="n"/>
      <c r="BY79" s="1505" t="n"/>
      <c r="BZ79" s="1505" t="n"/>
      <c r="CA79" s="1505" t="n"/>
      <c r="CB79" s="1505" t="n"/>
      <c r="CC79" s="1507">
        <f>SUM(BQ79:CB79)</f>
        <v/>
      </c>
      <c r="CD79" s="1505" t="n"/>
      <c r="CE79" s="1505" t="n"/>
      <c r="CF79" s="1505" t="n"/>
      <c r="CG79" s="1505" t="n"/>
      <c r="CH79" s="1505" t="n"/>
      <c r="CI79" s="1505" t="n"/>
      <c r="CJ79" s="1505" t="n"/>
      <c r="CK79" s="1505" t="n"/>
      <c r="CL79" s="1505" t="n"/>
      <c r="CM79" s="1505" t="n"/>
      <c r="CN79" s="1505" t="n"/>
      <c r="CO79" s="1505" t="n"/>
      <c r="CP79" s="1507">
        <f>SUM(CD79:CO79)</f>
        <v/>
      </c>
      <c r="CQ79" s="1505" t="n"/>
      <c r="CR79" s="1505" t="n"/>
      <c r="CS79" s="1505" t="n"/>
      <c r="CT79" s="1505" t="n"/>
      <c r="CU79" s="1505" t="n"/>
      <c r="CV79" s="1505" t="n"/>
      <c r="CW79" s="1505" t="n"/>
      <c r="CX79" s="1505" t="n"/>
      <c r="CY79" s="1505" t="n"/>
      <c r="CZ79" s="1505" t="n"/>
      <c r="DA79" s="1505" t="n"/>
      <c r="DB79" s="1505" t="n"/>
      <c r="DC79" s="1507">
        <f>SUM(CQ79:DB79)</f>
        <v/>
      </c>
      <c r="DD79" s="1505" t="n"/>
      <c r="DE79" s="1505" t="n"/>
      <c r="DF79" s="1505" t="n"/>
      <c r="DG79" s="1505" t="n"/>
      <c r="DH79" s="1505" t="n"/>
      <c r="DI79" s="1505" t="n"/>
      <c r="DJ79" s="1505" t="n"/>
      <c r="DK79" s="1505" t="n"/>
      <c r="DL79" s="1505" t="n"/>
      <c r="DM79" s="1505" t="n"/>
      <c r="DN79" s="1505" t="n"/>
      <c r="DO79" s="1505" t="n"/>
      <c r="DP79" s="1507">
        <f>SUM(DD79:DO79)</f>
        <v/>
      </c>
    </row>
    <row r="80">
      <c r="B80" s="720" t="n"/>
      <c r="C80" s="1550">
        <f>SUM(C77:C79)</f>
        <v/>
      </c>
      <c r="D80" s="1550">
        <f>SUM(D77:D79)</f>
        <v/>
      </c>
      <c r="E80" s="1550">
        <f>SUM(E77:E79)</f>
        <v/>
      </c>
      <c r="F80" s="1550">
        <f>SUM(F77:F79)</f>
        <v/>
      </c>
      <c r="G80" s="1550">
        <f>SUM(G77:G79)</f>
        <v/>
      </c>
      <c r="H80" s="1550">
        <f>SUM(H77:H79)</f>
        <v/>
      </c>
      <c r="I80" s="1550">
        <f>SUM(I77:I79)</f>
        <v/>
      </c>
      <c r="J80" s="1550">
        <f>SUM(J77:J79)</f>
        <v/>
      </c>
      <c r="K80" s="1550">
        <f>SUM(K77:K79)</f>
        <v/>
      </c>
      <c r="L80" s="1550">
        <f>SUM(L77:L79)</f>
        <v/>
      </c>
      <c r="M80" s="1550">
        <f>SUM(M77:M79)</f>
        <v/>
      </c>
      <c r="N80" s="1550">
        <f>SUM(N77:N79)</f>
        <v/>
      </c>
      <c r="O80" s="1550">
        <f>SUM(O77:O79)</f>
        <v/>
      </c>
      <c r="P80" s="1507">
        <f>SUM(C80:O80)</f>
        <v/>
      </c>
      <c r="Q80" s="1550">
        <f>SUM(Q77:Q79)</f>
        <v/>
      </c>
      <c r="R80" s="1550">
        <f>SUM(R77:R79)</f>
        <v/>
      </c>
      <c r="S80" s="1550">
        <f>SUM(S77:S79)</f>
        <v/>
      </c>
      <c r="T80" s="1550">
        <f>SUM(T77:T79)</f>
        <v/>
      </c>
      <c r="U80" s="1550">
        <f>SUM(U77:U79)</f>
        <v/>
      </c>
      <c r="V80" s="1550">
        <f>SUM(V77:V79)</f>
        <v/>
      </c>
      <c r="W80" s="1550">
        <f>SUM(W77:W79)</f>
        <v/>
      </c>
      <c r="X80" s="1550">
        <f>SUM(X77:X79)</f>
        <v/>
      </c>
      <c r="Y80" s="1550">
        <f>SUM(Y77:Y79)</f>
        <v/>
      </c>
      <c r="Z80" s="1550">
        <f>SUM(Z77:Z79)</f>
        <v/>
      </c>
      <c r="AA80" s="1550">
        <f>SUM(AA77:AA79)</f>
        <v/>
      </c>
      <c r="AB80" s="1550">
        <f>SUM(AB77:AB79)</f>
        <v/>
      </c>
      <c r="AC80" s="1507">
        <f>SUM(Q80:AB80)</f>
        <v/>
      </c>
      <c r="AD80" s="1550">
        <f>SUM(AD77:AD79)</f>
        <v/>
      </c>
      <c r="AE80" s="1550">
        <f>SUM(AE77:AE79)</f>
        <v/>
      </c>
      <c r="AF80" s="1550">
        <f>SUM(AF77:AF79)</f>
        <v/>
      </c>
      <c r="AG80" s="1550">
        <f>SUM(AG77:AG79)</f>
        <v/>
      </c>
      <c r="AH80" s="1550">
        <f>SUM(AH77:AH79)</f>
        <v/>
      </c>
      <c r="AI80" s="1550">
        <f>SUM(AI77:AI79)</f>
        <v/>
      </c>
      <c r="AJ80" s="1550">
        <f>SUM(AJ77:AJ79)</f>
        <v/>
      </c>
      <c r="AK80" s="1550">
        <f>SUM(AK77:AK79)</f>
        <v/>
      </c>
      <c r="AL80" s="1550">
        <f>SUM(AL77:AL79)</f>
        <v/>
      </c>
      <c r="AM80" s="1550">
        <f>SUM(AM77:AM79)</f>
        <v/>
      </c>
      <c r="AN80" s="1550">
        <f>SUM(AN77:AN79)</f>
        <v/>
      </c>
      <c r="AO80" s="1550">
        <f>SUM(AO77:AO79)</f>
        <v/>
      </c>
      <c r="AP80" s="1507">
        <f>SUM(AD80:AO80)</f>
        <v/>
      </c>
      <c r="AQ80" s="1550">
        <f>SUM(AQ77:AQ79)</f>
        <v/>
      </c>
      <c r="AR80" s="1550">
        <f>SUM(AR77:AR79)</f>
        <v/>
      </c>
      <c r="AS80" s="1550">
        <f>SUM(AS77:AS79)</f>
        <v/>
      </c>
      <c r="AT80" s="1550">
        <f>SUM(AT77:AT79)</f>
        <v/>
      </c>
      <c r="AU80" s="1550">
        <f>SUM(AU77:AU79)</f>
        <v/>
      </c>
      <c r="AV80" s="1550">
        <f>SUM(AV77:AV79)</f>
        <v/>
      </c>
      <c r="AW80" s="1550">
        <f>SUM(AW77:AW79)</f>
        <v/>
      </c>
      <c r="AX80" s="1550">
        <f>SUM(AX77:AX79)</f>
        <v/>
      </c>
      <c r="AY80" s="1550">
        <f>SUM(AY77:AY79)</f>
        <v/>
      </c>
      <c r="AZ80" s="1550">
        <f>SUM(AZ77:AZ79)</f>
        <v/>
      </c>
      <c r="BA80" s="1550">
        <f>SUM(BA77:BA79)</f>
        <v/>
      </c>
      <c r="BB80" s="1550">
        <f>SUM(BB77:BB79)</f>
        <v/>
      </c>
      <c r="BC80" s="1507">
        <f>SUM(AQ80:BB80)</f>
        <v/>
      </c>
      <c r="BD80" s="1550">
        <f>SUM(BD77:BD79)</f>
        <v/>
      </c>
      <c r="BE80" s="1550">
        <f>SUM(BE77:BE79)</f>
        <v/>
      </c>
      <c r="BF80" s="1550">
        <f>SUM(BF77:BF79)</f>
        <v/>
      </c>
      <c r="BG80" s="1550">
        <f>SUM(BG77:BG79)</f>
        <v/>
      </c>
      <c r="BH80" s="1550">
        <f>SUM(BH77:BH79)</f>
        <v/>
      </c>
      <c r="BI80" s="1550">
        <f>SUM(BI77:BI79)</f>
        <v/>
      </c>
      <c r="BJ80" s="1550">
        <f>SUM(BJ77:BJ79)</f>
        <v/>
      </c>
      <c r="BK80" s="1550">
        <f>SUM(BK77:BK79)</f>
        <v/>
      </c>
      <c r="BL80" s="1550">
        <f>SUM(BL77:BL79)</f>
        <v/>
      </c>
      <c r="BM80" s="1550">
        <f>SUM(BM77:BM79)</f>
        <v/>
      </c>
      <c r="BN80" s="1550">
        <f>SUM(BN77:BN79)</f>
        <v/>
      </c>
      <c r="BO80" s="1550">
        <f>SUM(BO77:BO79)</f>
        <v/>
      </c>
      <c r="BP80" s="1507">
        <f>SUM(BD80:BO80)</f>
        <v/>
      </c>
      <c r="BQ80" s="1550">
        <f>SUM(BQ77:BQ79)</f>
        <v/>
      </c>
      <c r="BR80" s="1550">
        <f>SUM(BR77:BR79)</f>
        <v/>
      </c>
      <c r="BS80" s="1550">
        <f>SUM(BS77:BS79)</f>
        <v/>
      </c>
      <c r="BT80" s="1550">
        <f>SUM(BT77:BT79)</f>
        <v/>
      </c>
      <c r="BU80" s="1550">
        <f>SUM(BU77:BU79)</f>
        <v/>
      </c>
      <c r="BV80" s="1550">
        <f>SUM(BV77:BV79)</f>
        <v/>
      </c>
      <c r="BW80" s="1550">
        <f>SUM(BW77:BW79)</f>
        <v/>
      </c>
      <c r="BX80" s="1550">
        <f>SUM(BX77:BX79)</f>
        <v/>
      </c>
      <c r="BY80" s="1550">
        <f>SUM(BY77:BY79)</f>
        <v/>
      </c>
      <c r="BZ80" s="1550">
        <f>SUM(BZ77:BZ79)</f>
        <v/>
      </c>
      <c r="CA80" s="1550">
        <f>SUM(CA77:CA79)</f>
        <v/>
      </c>
      <c r="CB80" s="1550">
        <f>SUM(CB77:CB79)</f>
        <v/>
      </c>
      <c r="CC80" s="1507">
        <f>SUM(BQ80:CB80)</f>
        <v/>
      </c>
      <c r="CD80" s="1550">
        <f>SUM(CD77:CD79)</f>
        <v/>
      </c>
      <c r="CE80" s="1550">
        <f>SUM(CE77:CE79)</f>
        <v/>
      </c>
      <c r="CF80" s="1550">
        <f>SUM(CF77:CF79)</f>
        <v/>
      </c>
      <c r="CG80" s="1550">
        <f>SUM(CG77:CG79)</f>
        <v/>
      </c>
      <c r="CH80" s="1550">
        <f>SUM(CH77:CH79)</f>
        <v/>
      </c>
      <c r="CI80" s="1550">
        <f>SUM(CI77:CI79)</f>
        <v/>
      </c>
      <c r="CJ80" s="1550">
        <f>SUM(CJ77:CJ79)</f>
        <v/>
      </c>
      <c r="CK80" s="1550">
        <f>SUM(CK77:CK79)</f>
        <v/>
      </c>
      <c r="CL80" s="1550">
        <f>SUM(CL77:CL79)</f>
        <v/>
      </c>
      <c r="CM80" s="1550">
        <f>SUM(CM77:CM79)</f>
        <v/>
      </c>
      <c r="CN80" s="1550">
        <f>SUM(CN77:CN79)</f>
        <v/>
      </c>
      <c r="CO80" s="1550">
        <f>SUM(CO77:CO79)</f>
        <v/>
      </c>
      <c r="CP80" s="1507">
        <f>SUM(CD80:CO80)</f>
        <v/>
      </c>
      <c r="CQ80" s="1550">
        <f>SUM(CQ77:CQ79)</f>
        <v/>
      </c>
      <c r="CR80" s="1550">
        <f>SUM(CR77:CR79)</f>
        <v/>
      </c>
      <c r="CS80" s="1550">
        <f>SUM(CS77:CS79)</f>
        <v/>
      </c>
      <c r="CT80" s="1550">
        <f>SUM(CT77:CT79)</f>
        <v/>
      </c>
      <c r="CU80" s="1550">
        <f>SUM(CU77:CU79)</f>
        <v/>
      </c>
      <c r="CV80" s="1550">
        <f>SUM(CV77:CV79)</f>
        <v/>
      </c>
      <c r="CW80" s="1550">
        <f>SUM(CW77:CW79)</f>
        <v/>
      </c>
      <c r="CX80" s="1550">
        <f>SUM(CX77:CX79)</f>
        <v/>
      </c>
      <c r="CY80" s="1550">
        <f>SUM(CY77:CY79)</f>
        <v/>
      </c>
      <c r="CZ80" s="1550">
        <f>SUM(CZ77:CZ79)</f>
        <v/>
      </c>
      <c r="DA80" s="1550">
        <f>SUM(DA77:DA79)</f>
        <v/>
      </c>
      <c r="DB80" s="1550">
        <f>SUM(DB77:DB79)</f>
        <v/>
      </c>
      <c r="DC80" s="1507">
        <f>SUM(CQ80:DB80)</f>
        <v/>
      </c>
      <c r="DD80" s="1550">
        <f>SUM(DD77:DD79)</f>
        <v/>
      </c>
      <c r="DE80" s="1550">
        <f>SUM(DE77:DE79)</f>
        <v/>
      </c>
      <c r="DF80" s="1550">
        <f>SUM(DF77:DF79)</f>
        <v/>
      </c>
      <c r="DG80" s="1550">
        <f>SUM(DG77:DG79)</f>
        <v/>
      </c>
      <c r="DH80" s="1550">
        <f>SUM(DH77:DH79)</f>
        <v/>
      </c>
      <c r="DI80" s="1550">
        <f>SUM(DI77:DI79)</f>
        <v/>
      </c>
      <c r="DJ80" s="1550">
        <f>SUM(DJ77:DJ79)</f>
        <v/>
      </c>
      <c r="DK80" s="1550">
        <f>SUM(DK77:DK79)</f>
        <v/>
      </c>
      <c r="DL80" s="1550">
        <f>SUM(DL77:DL79)</f>
        <v/>
      </c>
      <c r="DM80" s="1550">
        <f>SUM(DM77:DM79)</f>
        <v/>
      </c>
      <c r="DN80" s="1550">
        <f>SUM(DN77:DN79)</f>
        <v/>
      </c>
      <c r="DO80" s="1550">
        <f>SUM(DO77:DO79)</f>
        <v/>
      </c>
      <c r="DP80" s="1507">
        <f>SUM(DD80:DO80)</f>
        <v/>
      </c>
    </row>
    <row r="81">
      <c r="C81" s="1508" t="n"/>
      <c r="D81" s="1508" t="n"/>
      <c r="E81" s="1508" t="n"/>
      <c r="F81" s="1508" t="n"/>
      <c r="G81" s="1508" t="n"/>
      <c r="H81" s="1508" t="n"/>
      <c r="I81" s="1508" t="n"/>
      <c r="J81" s="1508" t="n"/>
      <c r="K81" s="1508" t="n"/>
      <c r="L81" s="1508" t="n"/>
      <c r="M81" s="1508" t="n"/>
      <c r="N81" s="1508" t="n"/>
      <c r="O81" s="1508" t="n"/>
      <c r="P81" s="1508" t="n"/>
      <c r="Q81" s="1508" t="n"/>
      <c r="R81" s="1508" t="n"/>
      <c r="S81" s="1508" t="n"/>
      <c r="T81" s="1508" t="n"/>
      <c r="U81" s="1508" t="n"/>
      <c r="V81" s="1508" t="n"/>
      <c r="W81" s="1508" t="n"/>
      <c r="X81" s="1508" t="n"/>
      <c r="Y81" s="1508" t="n"/>
      <c r="Z81" s="1508" t="n"/>
      <c r="AA81" s="1508" t="n"/>
      <c r="AB81" s="1508" t="n"/>
      <c r="AC81" s="1508" t="n"/>
      <c r="AD81" s="1508" t="n"/>
      <c r="AE81" s="1508" t="n"/>
      <c r="AF81" s="1508" t="n"/>
      <c r="AG81" s="1508" t="n"/>
      <c r="AH81" s="1508" t="n"/>
      <c r="AI81" s="1508" t="n"/>
      <c r="AJ81" s="1508" t="n"/>
      <c r="AK81" s="1508" t="n"/>
      <c r="AL81" s="1508" t="n"/>
      <c r="AM81" s="1508" t="n"/>
      <c r="AN81" s="1508" t="n"/>
      <c r="AO81" s="1508" t="n"/>
      <c r="AP81" s="1508" t="n"/>
      <c r="AQ81" s="1508" t="n"/>
      <c r="AR81" s="1508" t="n"/>
      <c r="AS81" s="1508" t="n"/>
      <c r="AT81" s="1508" t="n"/>
      <c r="AU81" s="1508" t="n"/>
      <c r="AV81" s="1508" t="n"/>
      <c r="AW81" s="1508" t="n"/>
      <c r="AX81" s="1508" t="n"/>
      <c r="AY81" s="1508" t="n"/>
      <c r="AZ81" s="1508" t="n"/>
      <c r="BA81" s="1508" t="n"/>
      <c r="BB81" s="1508" t="n"/>
      <c r="BC81" s="1508" t="n"/>
      <c r="BD81" s="1508" t="n"/>
      <c r="BE81" s="1508" t="n"/>
      <c r="BF81" s="1508" t="n"/>
      <c r="BG81" s="1508" t="n"/>
      <c r="BH81" s="1508" t="n"/>
      <c r="BI81" s="1508" t="n"/>
      <c r="BJ81" s="1508" t="n"/>
      <c r="BK81" s="1508" t="n"/>
      <c r="BL81" s="1508" t="n"/>
      <c r="BM81" s="1508" t="n"/>
      <c r="BN81" s="1508" t="n"/>
      <c r="BO81" s="1508" t="n"/>
      <c r="BP81" s="1508" t="n"/>
      <c r="BQ81" s="1508" t="n"/>
      <c r="BR81" s="1508" t="n"/>
      <c r="BS81" s="1508" t="n"/>
      <c r="BT81" s="1508" t="n"/>
      <c r="BU81" s="1508" t="n"/>
      <c r="BV81" s="1508" t="n"/>
      <c r="BW81" s="1508" t="n"/>
      <c r="BX81" s="1508" t="n"/>
      <c r="BY81" s="1508" t="n"/>
      <c r="BZ81" s="1508" t="n"/>
      <c r="CA81" s="1508" t="n"/>
      <c r="CB81" s="1508" t="n"/>
      <c r="CC81" s="1508" t="n"/>
      <c r="CD81" s="1508" t="n"/>
      <c r="CE81" s="1508" t="n"/>
      <c r="CF81" s="1508" t="n"/>
      <c r="CG81" s="1508" t="n"/>
      <c r="CH81" s="1508" t="n"/>
      <c r="CI81" s="1508" t="n"/>
      <c r="CJ81" s="1508" t="n"/>
      <c r="CK81" s="1508" t="n"/>
      <c r="CL81" s="1508" t="n"/>
      <c r="CM81" s="1508" t="n"/>
      <c r="CN81" s="1508" t="n"/>
      <c r="CO81" s="1508" t="n"/>
      <c r="CP81" s="1508" t="n"/>
      <c r="CQ81" s="1508" t="n"/>
      <c r="CR81" s="1508" t="n"/>
      <c r="CS81" s="1508" t="n"/>
      <c r="CT81" s="1508" t="n"/>
      <c r="CU81" s="1508" t="n"/>
      <c r="CV81" s="1508" t="n"/>
      <c r="CW81" s="1508" t="n"/>
      <c r="CX81" s="1508" t="n"/>
      <c r="CY81" s="1508" t="n"/>
      <c r="CZ81" s="1508" t="n"/>
      <c r="DA81" s="1508" t="n"/>
      <c r="DB81" s="1508" t="n"/>
      <c r="DC81" s="1508" t="n"/>
      <c r="DD81" s="1508" t="n"/>
      <c r="DE81" s="1508" t="n"/>
      <c r="DF81" s="1508" t="n"/>
      <c r="DG81" s="1508" t="n"/>
      <c r="DH81" s="1508" t="n"/>
      <c r="DI81" s="1508" t="n"/>
      <c r="DJ81" s="1508" t="n"/>
      <c r="DK81" s="1508" t="n"/>
      <c r="DL81" s="1508" t="n"/>
      <c r="DM81" s="1508" t="n"/>
      <c r="DN81" s="1508" t="n"/>
      <c r="DO81" s="1508" t="n"/>
      <c r="DP81" s="1508" t="n"/>
    </row>
    <row r="82">
      <c r="B82" s="730" t="n"/>
      <c r="C82" s="1509">
        <f>C65-C74-C80-C69</f>
        <v/>
      </c>
      <c r="D82" s="1509">
        <f>D65-D74-D80-D69</f>
        <v/>
      </c>
      <c r="E82" s="1509">
        <f>E65-E74-E80-E69</f>
        <v/>
      </c>
      <c r="F82" s="1509">
        <f>F65-F74-F80-F69</f>
        <v/>
      </c>
      <c r="G82" s="1509">
        <f>G65-G74-G80-G69</f>
        <v/>
      </c>
      <c r="H82" s="1509">
        <f>H65-H74-H80-H69</f>
        <v/>
      </c>
      <c r="I82" s="1509">
        <f>I65-I74-I80-I69</f>
        <v/>
      </c>
      <c r="J82" s="1509">
        <f>J65-J74-J80-J69</f>
        <v/>
      </c>
      <c r="K82" s="1509">
        <f>K65-K74-K80-K69</f>
        <v/>
      </c>
      <c r="L82" s="1509">
        <f>L65-L74-L80-L69</f>
        <v/>
      </c>
      <c r="M82" s="1509">
        <f>M65-M74-M80-M69</f>
        <v/>
      </c>
      <c r="N82" s="1509">
        <f>N65-N74-N80-N69</f>
        <v/>
      </c>
      <c r="O82" s="1509">
        <f>O65-O74-O80-O69</f>
        <v/>
      </c>
      <c r="P82" s="1509">
        <f>P65-P74-P80-P69</f>
        <v/>
      </c>
      <c r="Q82" s="1509">
        <f>Q65-Q74-Q80-Q69</f>
        <v/>
      </c>
      <c r="R82" s="1509">
        <f>R65-R74-R80-R69</f>
        <v/>
      </c>
      <c r="S82" s="1509">
        <f>S65-S74-S80-S69</f>
        <v/>
      </c>
      <c r="T82" s="1509">
        <f>T65-T74-T80-T69</f>
        <v/>
      </c>
      <c r="U82" s="1509">
        <f>U65-U74-U80-U69</f>
        <v/>
      </c>
      <c r="V82" s="1509">
        <f>V65-V74-V80-V69</f>
        <v/>
      </c>
      <c r="W82" s="1509">
        <f>W65-W74-W80-W69</f>
        <v/>
      </c>
      <c r="X82" s="1509">
        <f>X65-X74-X80-X69</f>
        <v/>
      </c>
      <c r="Y82" s="1509">
        <f>Y65-Y74-Y80-Y69</f>
        <v/>
      </c>
      <c r="Z82" s="1509">
        <f>Z65-Z74-Z80-Z69</f>
        <v/>
      </c>
      <c r="AA82" s="1509">
        <f>AA65-AA74-AA80-AA69</f>
        <v/>
      </c>
      <c r="AB82" s="1509">
        <f>AB65-AB74-AB80-AB69</f>
        <v/>
      </c>
      <c r="AC82" s="1509">
        <f>AC65-AC74-AC80-AC69</f>
        <v/>
      </c>
      <c r="AD82" s="1509">
        <f>AD65-AD74-AD80-AD69</f>
        <v/>
      </c>
      <c r="AE82" s="1509">
        <f>AE65-AE74-AE80-AE69</f>
        <v/>
      </c>
      <c r="AF82" s="1509">
        <f>AF65-AF74-AF80-AF69</f>
        <v/>
      </c>
      <c r="AG82" s="1509">
        <f>AG65-AG74-AG80-AG69</f>
        <v/>
      </c>
      <c r="AH82" s="1509">
        <f>AH65-AH74-AH80-AH69</f>
        <v/>
      </c>
      <c r="AI82" s="1509">
        <f>AI65-AI74-AI80-AI69</f>
        <v/>
      </c>
      <c r="AJ82" s="1509">
        <f>AJ65-AJ74-AJ80-AJ69</f>
        <v/>
      </c>
      <c r="AK82" s="1509">
        <f>AK65-AK74-AK80-AK69</f>
        <v/>
      </c>
      <c r="AL82" s="1509">
        <f>AL65-AL74-AL80-AL69</f>
        <v/>
      </c>
      <c r="AM82" s="1509">
        <f>AM65-AM74-AM80-AM69</f>
        <v/>
      </c>
      <c r="AN82" s="1509">
        <f>AN65-AN74-AN80-AN69</f>
        <v/>
      </c>
      <c r="AO82" s="1509">
        <f>AO65-AO74-AO80-AO69</f>
        <v/>
      </c>
      <c r="AP82" s="1509">
        <f>AP65-AP74-AP80-AP69</f>
        <v/>
      </c>
      <c r="AQ82" s="1509">
        <f>AQ65-AQ74-AQ80-AQ69</f>
        <v/>
      </c>
      <c r="AR82" s="1509">
        <f>AR65-AR74-AR80-AR69</f>
        <v/>
      </c>
      <c r="AS82" s="1509">
        <f>AS65-AS74-AS80-AS69</f>
        <v/>
      </c>
      <c r="AT82" s="1509">
        <f>AT65-AT74-AT80-AT69</f>
        <v/>
      </c>
      <c r="AU82" s="1509">
        <f>AU65-AU74-AU80-AU69</f>
        <v/>
      </c>
      <c r="AV82" s="1509">
        <f>AV65-AV74-AV80-AV69</f>
        <v/>
      </c>
      <c r="AW82" s="1509">
        <f>AW65-AW74-AW80-AW69</f>
        <v/>
      </c>
      <c r="AX82" s="1509">
        <f>AX65-AX74-AX80-AX69</f>
        <v/>
      </c>
      <c r="AY82" s="1509">
        <f>AY65-AY74-AY80-AY69</f>
        <v/>
      </c>
      <c r="AZ82" s="1509">
        <f>AZ65-AZ74-AZ80-AZ69</f>
        <v/>
      </c>
      <c r="BA82" s="1509">
        <f>BA65-BA74-BA80-BA69</f>
        <v/>
      </c>
      <c r="BB82" s="1509">
        <f>BB65-BB74-BB80-BB69</f>
        <v/>
      </c>
      <c r="BC82" s="1509">
        <f>BC65-BC74-BC80-BC69</f>
        <v/>
      </c>
      <c r="BD82" s="1509">
        <f>BD65-BD74-BD80-BD69</f>
        <v/>
      </c>
      <c r="BE82" s="1509">
        <f>BE65-BE74-BE80-BE69</f>
        <v/>
      </c>
      <c r="BF82" s="1509">
        <f>BF65-BF74-BF80-BF69</f>
        <v/>
      </c>
      <c r="BG82" s="1509">
        <f>BG65-BG74-BG80-BG69</f>
        <v/>
      </c>
      <c r="BH82" s="1509">
        <f>BH65-BH74-BH80-BH69</f>
        <v/>
      </c>
      <c r="BI82" s="1509">
        <f>BI65-BI74-BI80-BI69</f>
        <v/>
      </c>
      <c r="BJ82" s="1509">
        <f>BJ65-BJ74-BJ80-BJ69</f>
        <v/>
      </c>
      <c r="BK82" s="1509">
        <f>BK65-BK74-BK80-BK69</f>
        <v/>
      </c>
      <c r="BL82" s="1509">
        <f>BL65-BL74-BL80-BL69</f>
        <v/>
      </c>
      <c r="BM82" s="1509">
        <f>BM65-BM74-BM80-BM69</f>
        <v/>
      </c>
      <c r="BN82" s="1509">
        <f>BN65-BN74-BN80-BN69</f>
        <v/>
      </c>
      <c r="BO82" s="1509">
        <f>BO65-BO74-BO80-BO69</f>
        <v/>
      </c>
      <c r="BP82" s="1509">
        <f>BP65-BP74-BP80-BP69</f>
        <v/>
      </c>
      <c r="BQ82" s="1509">
        <f>BQ65-BQ74-BQ80-BQ69</f>
        <v/>
      </c>
      <c r="BR82" s="1509">
        <f>BR65-BR74-BR80-BR69</f>
        <v/>
      </c>
      <c r="BS82" s="1509">
        <f>BS65-BS74-BS80-BS69</f>
        <v/>
      </c>
      <c r="BT82" s="1509">
        <f>BT65-BT74-BT80-BT69</f>
        <v/>
      </c>
      <c r="BU82" s="1509">
        <f>BU65-BU74-BU80-BU69</f>
        <v/>
      </c>
      <c r="BV82" s="1509">
        <f>BV65-BV74-BV80-BV69</f>
        <v/>
      </c>
      <c r="BW82" s="1509">
        <f>BW65-BW74-BW80-BW69</f>
        <v/>
      </c>
      <c r="BX82" s="1509">
        <f>BX65-BX74-BX80-BX69</f>
        <v/>
      </c>
      <c r="BY82" s="1509">
        <f>BY65-BY74-BY80-BY69</f>
        <v/>
      </c>
      <c r="BZ82" s="1509">
        <f>BZ65-BZ74-BZ80-BZ69</f>
        <v/>
      </c>
      <c r="CA82" s="1509">
        <f>CA65-CA74-CA80-CA69</f>
        <v/>
      </c>
      <c r="CB82" s="1509">
        <f>CB65-CB74-CB80-CB69</f>
        <v/>
      </c>
      <c r="CC82" s="1509">
        <f>CC65-CC74-CC80-CC69</f>
        <v/>
      </c>
      <c r="CD82" s="1509">
        <f>CD65-CD74-CD80-CD69</f>
        <v/>
      </c>
      <c r="CE82" s="1509">
        <f>CE65-CE74-CE80-CE69</f>
        <v/>
      </c>
      <c r="CF82" s="1509">
        <f>CF65-CF74-CF80-CF69</f>
        <v/>
      </c>
      <c r="CG82" s="1509">
        <f>CG65-CG74-CG80-CG69</f>
        <v/>
      </c>
      <c r="CH82" s="1509">
        <f>CH65-CH74-CH80-CH69</f>
        <v/>
      </c>
      <c r="CI82" s="1509">
        <f>CI65-CI74-CI80-CI69</f>
        <v/>
      </c>
      <c r="CJ82" s="1509">
        <f>CJ65-CJ74-CJ80-CJ69</f>
        <v/>
      </c>
      <c r="CK82" s="1509">
        <f>CK65-CK74-CK80-CK69</f>
        <v/>
      </c>
      <c r="CL82" s="1509">
        <f>CL65-CL74-CL80-CL69</f>
        <v/>
      </c>
      <c r="CM82" s="1509">
        <f>CM65-CM74-CM80-CM69</f>
        <v/>
      </c>
      <c r="CN82" s="1509">
        <f>CN65-CN74-CN80-CN69</f>
        <v/>
      </c>
      <c r="CO82" s="1509">
        <f>CO65-CO74-CO80-CO69</f>
        <v/>
      </c>
      <c r="CP82" s="1509">
        <f>CP65-CP74-CP80-CP69</f>
        <v/>
      </c>
      <c r="CQ82" s="1509">
        <f>CQ65-CQ74-CQ80-CQ69</f>
        <v/>
      </c>
      <c r="CR82" s="1509">
        <f>CR65-CR74-CR80-CR69</f>
        <v/>
      </c>
      <c r="CS82" s="1509">
        <f>CS65-CS74-CS80-CS69</f>
        <v/>
      </c>
      <c r="CT82" s="1509">
        <f>CT65-CT74-CT80-CT69</f>
        <v/>
      </c>
      <c r="CU82" s="1509">
        <f>CU65-CU74-CU80-CU69</f>
        <v/>
      </c>
      <c r="CV82" s="1509">
        <f>CV65-CV74-CV80-CV69</f>
        <v/>
      </c>
      <c r="CW82" s="1509">
        <f>CW65-CW74-CW80-CW69</f>
        <v/>
      </c>
      <c r="CX82" s="1509">
        <f>CX65-CX74-CX80-CX69</f>
        <v/>
      </c>
      <c r="CY82" s="1509">
        <f>CY65-CY74-CY80-CY69</f>
        <v/>
      </c>
      <c r="CZ82" s="1509">
        <f>CZ65-CZ74-CZ80-CZ69</f>
        <v/>
      </c>
      <c r="DA82" s="1509">
        <f>DA65-DA74-DA80-DA69</f>
        <v/>
      </c>
      <c r="DB82" s="1509">
        <f>DB65-DB74-DB80-DB69</f>
        <v/>
      </c>
      <c r="DC82" s="1509">
        <f>DC65-DC74-DC80-DC69</f>
        <v/>
      </c>
      <c r="DD82" s="1509">
        <f>DD65-DD74-DD80-DD69</f>
        <v/>
      </c>
      <c r="DE82" s="1509">
        <f>DE65-DE74-DE80-DE69</f>
        <v/>
      </c>
      <c r="DF82" s="1509">
        <f>DF65-DF74-DF80-DF69</f>
        <v/>
      </c>
      <c r="DG82" s="1509">
        <f>DG65-DG74-DG80-DG69</f>
        <v/>
      </c>
      <c r="DH82" s="1509">
        <f>DH65-DH74-DH80-DH69</f>
        <v/>
      </c>
      <c r="DI82" s="1509">
        <f>DI65-DI74-DI80-DI69</f>
        <v/>
      </c>
      <c r="DJ82" s="1509">
        <f>DJ65-DJ74-DJ80-DJ69</f>
        <v/>
      </c>
      <c r="DK82" s="1509">
        <f>DK65-DK74-DK80-DK69</f>
        <v/>
      </c>
      <c r="DL82" s="1509">
        <f>DL65-DL74-DL80-DL69</f>
        <v/>
      </c>
      <c r="DM82" s="1509">
        <f>DM65-DM74-DM80-DM69</f>
        <v/>
      </c>
      <c r="DN82" s="1509">
        <f>DN65-DN74-DN80-DN69</f>
        <v/>
      </c>
      <c r="DO82" s="1509">
        <f>DO65-DO74-DO80-DO69</f>
        <v/>
      </c>
      <c r="DP82" s="1509">
        <f>DP65-DP74-DP80-DP69</f>
        <v/>
      </c>
    </row>
    <row r="83">
      <c r="C83" s="1508" t="n"/>
      <c r="D83" s="1508" t="n"/>
      <c r="E83" s="1508" t="n"/>
      <c r="F83" s="1508" t="n"/>
      <c r="G83" s="1508" t="n"/>
      <c r="H83" s="1508" t="n"/>
      <c r="I83" s="1508" t="n"/>
      <c r="J83" s="1508" t="n"/>
      <c r="K83" s="1508" t="n"/>
      <c r="L83" s="1508" t="n"/>
      <c r="M83" s="1508" t="n"/>
      <c r="N83" s="1508" t="n"/>
      <c r="O83" s="1508" t="n"/>
      <c r="P83" s="1508" t="n"/>
      <c r="Q83" s="1508" t="n"/>
      <c r="R83" s="1508" t="n"/>
      <c r="S83" s="1508" t="n"/>
      <c r="T83" s="1508" t="n"/>
      <c r="U83" s="1508" t="n"/>
      <c r="V83" s="1508" t="n"/>
      <c r="W83" s="1508" t="n"/>
      <c r="X83" s="1508" t="n"/>
      <c r="Y83" s="1508" t="n"/>
      <c r="Z83" s="1508" t="n"/>
      <c r="AA83" s="1508" t="n"/>
      <c r="AB83" s="1508" t="n"/>
      <c r="AC83" s="1508" t="n"/>
      <c r="AD83" s="1508" t="n"/>
      <c r="AE83" s="1508" t="n"/>
      <c r="AF83" s="1508" t="n"/>
      <c r="AG83" s="1508" t="n"/>
      <c r="AH83" s="1508" t="n"/>
      <c r="AI83" s="1508" t="n"/>
      <c r="AJ83" s="1508" t="n"/>
      <c r="AK83" s="1508" t="n"/>
      <c r="AL83" s="1508" t="n"/>
      <c r="AM83" s="1508" t="n"/>
      <c r="AN83" s="1508" t="n"/>
      <c r="AO83" s="1508" t="n"/>
      <c r="AP83" s="1508" t="n"/>
      <c r="AQ83" s="1508" t="n"/>
      <c r="AR83" s="1508" t="n"/>
      <c r="AS83" s="1508" t="n"/>
      <c r="AT83" s="1508" t="n"/>
      <c r="AU83" s="1508" t="n"/>
      <c r="AV83" s="1508" t="n"/>
      <c r="AW83" s="1508" t="n"/>
      <c r="AX83" s="1508" t="n"/>
      <c r="AY83" s="1508" t="n"/>
      <c r="AZ83" s="1508" t="n"/>
      <c r="BA83" s="1508" t="n"/>
      <c r="BB83" s="1508" t="n"/>
      <c r="BC83" s="1508" t="n"/>
      <c r="BD83" s="1508" t="n"/>
      <c r="BE83" s="1508" t="n"/>
      <c r="BF83" s="1508" t="n"/>
      <c r="BG83" s="1508" t="n"/>
      <c r="BH83" s="1508" t="n"/>
      <c r="BI83" s="1508" t="n"/>
      <c r="BJ83" s="1508" t="n"/>
      <c r="BK83" s="1508" t="n"/>
      <c r="BL83" s="1508" t="n"/>
      <c r="BM83" s="1508" t="n"/>
      <c r="BN83" s="1508" t="n"/>
      <c r="BO83" s="1508" t="n"/>
      <c r="BP83" s="1508" t="n"/>
      <c r="BQ83" s="1508" t="n"/>
      <c r="BR83" s="1508" t="n"/>
      <c r="BS83" s="1508" t="n"/>
      <c r="BT83" s="1508" t="n"/>
      <c r="BU83" s="1508" t="n"/>
      <c r="BV83" s="1508" t="n"/>
      <c r="BW83" s="1508" t="n"/>
      <c r="BX83" s="1508" t="n"/>
      <c r="BY83" s="1508" t="n"/>
      <c r="BZ83" s="1508" t="n"/>
      <c r="CA83" s="1508" t="n"/>
      <c r="CB83" s="1508" t="n"/>
      <c r="CC83" s="1508" t="n"/>
      <c r="CD83" s="1508" t="n"/>
      <c r="CE83" s="1508" t="n"/>
      <c r="CF83" s="1508" t="n"/>
      <c r="CG83" s="1508" t="n"/>
      <c r="CH83" s="1508" t="n"/>
      <c r="CI83" s="1508" t="n"/>
      <c r="CJ83" s="1508" t="n"/>
      <c r="CK83" s="1508" t="n"/>
      <c r="CL83" s="1508" t="n"/>
      <c r="CM83" s="1508" t="n"/>
      <c r="CN83" s="1508" t="n"/>
      <c r="CO83" s="1508" t="n"/>
      <c r="CP83" s="1508" t="n"/>
      <c r="CQ83" s="1508" t="n"/>
      <c r="CR83" s="1508" t="n"/>
      <c r="CS83" s="1508" t="n"/>
      <c r="CT83" s="1508" t="n"/>
      <c r="CU83" s="1508" t="n"/>
      <c r="CV83" s="1508" t="n"/>
      <c r="CW83" s="1508" t="n"/>
      <c r="CX83" s="1508" t="n"/>
      <c r="CY83" s="1508" t="n"/>
      <c r="CZ83" s="1508" t="n"/>
      <c r="DA83" s="1508" t="n"/>
      <c r="DB83" s="1508" t="n"/>
      <c r="DC83" s="1508" t="n"/>
      <c r="DD83" s="1508" t="n"/>
      <c r="DE83" s="1508" t="n"/>
      <c r="DF83" s="1508" t="n"/>
      <c r="DG83" s="1508" t="n"/>
      <c r="DH83" s="1508" t="n"/>
      <c r="DI83" s="1508" t="n"/>
      <c r="DJ83" s="1508" t="n"/>
      <c r="DK83" s="1508" t="n"/>
      <c r="DL83" s="1508" t="n"/>
      <c r="DM83" s="1508" t="n"/>
      <c r="DN83" s="1508" t="n"/>
      <c r="DO83" s="1508" t="n"/>
      <c r="DP83" s="1508" t="n"/>
    </row>
    <row r="84">
      <c r="B84" s="724" t="n"/>
      <c r="C84" s="1505" t="n"/>
      <c r="D84" s="1505" t="n"/>
      <c r="E84" s="1505" t="n"/>
      <c r="F84" s="1505" t="n"/>
      <c r="G84" s="1505" t="n"/>
      <c r="H84" s="1505" t="n"/>
      <c r="I84" s="1505" t="n"/>
      <c r="J84" s="1505" t="n"/>
      <c r="K84" s="1505" t="n"/>
      <c r="L84" s="1505" t="n"/>
      <c r="M84" s="1505" t="n"/>
      <c r="N84" s="1505" t="n"/>
      <c r="O84" s="1505" t="n"/>
      <c r="P84" s="1507">
        <f>SUM(C84:O84)</f>
        <v/>
      </c>
      <c r="Q84" s="1505" t="n"/>
      <c r="R84" s="1505" t="n"/>
      <c r="S84" s="1505" t="n"/>
      <c r="T84" s="1505" t="n"/>
      <c r="U84" s="1505" t="n"/>
      <c r="V84" s="1505" t="n"/>
      <c r="W84" s="1505" t="n"/>
      <c r="X84" s="1505" t="n"/>
      <c r="Y84" s="1505" t="n"/>
      <c r="Z84" s="1505" t="n"/>
      <c r="AA84" s="1505" t="n"/>
      <c r="AB84" s="1505" t="n"/>
      <c r="AC84" s="1507">
        <f>SUM(Q84:AB84)</f>
        <v/>
      </c>
      <c r="AD84" s="1505" t="n"/>
      <c r="AE84" s="1505" t="n"/>
      <c r="AF84" s="1505" t="n"/>
      <c r="AG84" s="1505" t="n"/>
      <c r="AH84" s="1505" t="n"/>
      <c r="AI84" s="1505" t="n"/>
      <c r="AJ84" s="1505" t="n"/>
      <c r="AK84" s="1505" t="n"/>
      <c r="AL84" s="1505" t="n"/>
      <c r="AM84" s="1505" t="n"/>
      <c r="AN84" s="1505" t="n"/>
      <c r="AO84" s="1505" t="n"/>
      <c r="AP84" s="1507">
        <f>SUM(AD84:AO84)</f>
        <v/>
      </c>
      <c r="AQ84" s="1505" t="n"/>
      <c r="AR84" s="1505" t="n"/>
      <c r="AS84" s="1505" t="n"/>
      <c r="AT84" s="1505" t="n"/>
      <c r="AU84" s="1505" t="n"/>
      <c r="AV84" s="1505" t="n"/>
      <c r="AW84" s="1505" t="n"/>
      <c r="AX84" s="1505" t="n"/>
      <c r="AY84" s="1505" t="n"/>
      <c r="AZ84" s="1505" t="n"/>
      <c r="BA84" s="1505" t="n"/>
      <c r="BB84" s="1505" t="n"/>
      <c r="BC84" s="1507">
        <f>SUM(AQ84:BB84)</f>
        <v/>
      </c>
      <c r="BD84" s="1505" t="n"/>
      <c r="BE84" s="1505" t="n"/>
      <c r="BF84" s="1505" t="n"/>
      <c r="BG84" s="1505" t="n"/>
      <c r="BH84" s="1505" t="n"/>
      <c r="BI84" s="1505" t="n"/>
      <c r="BJ84" s="1505" t="n"/>
      <c r="BK84" s="1505" t="n"/>
      <c r="BL84" s="1505" t="n"/>
      <c r="BM84" s="1505" t="n"/>
      <c r="BN84" s="1505" t="n"/>
      <c r="BO84" s="1505" t="n"/>
      <c r="BP84" s="1507">
        <f>SUM(BD84:BO84)</f>
        <v/>
      </c>
      <c r="BQ84" s="1505" t="n"/>
      <c r="BR84" s="1505" t="n"/>
      <c r="BS84" s="1505" t="n"/>
      <c r="BT84" s="1505" t="n"/>
      <c r="BU84" s="1505" t="n"/>
      <c r="BV84" s="1505" t="n"/>
      <c r="BW84" s="1505" t="n"/>
      <c r="BX84" s="1505" t="n"/>
      <c r="BY84" s="1505" t="n"/>
      <c r="BZ84" s="1505" t="n"/>
      <c r="CA84" s="1505" t="n"/>
      <c r="CB84" s="1505" t="n"/>
      <c r="CC84" s="1507">
        <f>SUM(BQ84:CB84)</f>
        <v/>
      </c>
      <c r="CD84" s="1505" t="n"/>
      <c r="CE84" s="1505" t="n"/>
      <c r="CF84" s="1505" t="n"/>
      <c r="CG84" s="1505" t="n"/>
      <c r="CH84" s="1505" t="n"/>
      <c r="CI84" s="1505" t="n"/>
      <c r="CJ84" s="1505" t="n"/>
      <c r="CK84" s="1505" t="n"/>
      <c r="CL84" s="1505" t="n"/>
      <c r="CM84" s="1505" t="n"/>
      <c r="CN84" s="1505" t="n"/>
      <c r="CO84" s="1505" t="n"/>
      <c r="CP84" s="1507">
        <f>SUM(CD84:CO84)</f>
        <v/>
      </c>
      <c r="CQ84" s="1505" t="n"/>
      <c r="CR84" s="1505" t="n"/>
      <c r="CS84" s="1505" t="n"/>
      <c r="CT84" s="1505" t="n"/>
      <c r="CU84" s="1505" t="n"/>
      <c r="CV84" s="1505" t="n"/>
      <c r="CW84" s="1505" t="n"/>
      <c r="CX84" s="1505" t="n"/>
      <c r="CY84" s="1505" t="n"/>
      <c r="CZ84" s="1505" t="n"/>
      <c r="DA84" s="1505" t="n"/>
      <c r="DB84" s="1505" t="n"/>
      <c r="DC84" s="1507">
        <f>SUM(CQ84:DB84)</f>
        <v/>
      </c>
      <c r="DD84" s="1505" t="n"/>
      <c r="DE84" s="1505" t="n"/>
      <c r="DF84" s="1505" t="n"/>
      <c r="DG84" s="1505" t="n"/>
      <c r="DH84" s="1505" t="n"/>
      <c r="DI84" s="1505" t="n"/>
      <c r="DJ84" s="1505" t="n"/>
      <c r="DK84" s="1505" t="n"/>
      <c r="DL84" s="1505" t="n"/>
      <c r="DM84" s="1505" t="n"/>
      <c r="DN84" s="1505" t="n"/>
      <c r="DO84" s="1505" t="n"/>
      <c r="DP84" s="1507">
        <f>SUM(DD84:DO84)</f>
        <v/>
      </c>
    </row>
    <row r="85">
      <c r="C85" s="1508" t="n"/>
      <c r="D85" s="1508" t="n"/>
      <c r="E85" s="1508" t="n"/>
      <c r="F85" s="1508" t="n"/>
      <c r="G85" s="1508" t="n"/>
      <c r="H85" s="1508" t="n"/>
      <c r="I85" s="1508" t="n"/>
      <c r="J85" s="1508" t="n"/>
      <c r="K85" s="1508" t="n"/>
      <c r="L85" s="1508" t="n"/>
      <c r="M85" s="1508" t="n"/>
      <c r="N85" s="1508" t="n"/>
      <c r="O85" s="1508" t="n"/>
      <c r="P85" s="1508" t="n"/>
      <c r="Q85" s="1508" t="n"/>
      <c r="R85" s="1508" t="n"/>
      <c r="S85" s="1508" t="n"/>
      <c r="T85" s="1508" t="n"/>
      <c r="U85" s="1508" t="n"/>
      <c r="V85" s="1508" t="n"/>
      <c r="W85" s="1508" t="n"/>
      <c r="X85" s="1508" t="n"/>
      <c r="Y85" s="1508" t="n"/>
      <c r="Z85" s="1508" t="n"/>
      <c r="AA85" s="1508" t="n"/>
      <c r="AB85" s="1508" t="n"/>
      <c r="AC85" s="1508" t="n"/>
      <c r="AD85" s="1508" t="n"/>
      <c r="AE85" s="1508" t="n"/>
      <c r="AF85" s="1508" t="n"/>
      <c r="AG85" s="1508" t="n"/>
      <c r="AH85" s="1508" t="n"/>
      <c r="AI85" s="1508" t="n"/>
      <c r="AJ85" s="1508" t="n"/>
      <c r="AK85" s="1508" t="n"/>
      <c r="AL85" s="1508" t="n"/>
      <c r="AM85" s="1508" t="n"/>
      <c r="AN85" s="1508" t="n"/>
      <c r="AO85" s="1508" t="n"/>
      <c r="AP85" s="1508" t="n"/>
      <c r="AQ85" s="1508" t="n"/>
      <c r="AR85" s="1508" t="n"/>
      <c r="AS85" s="1508" t="n"/>
      <c r="AT85" s="1508" t="n"/>
      <c r="AU85" s="1508" t="n"/>
      <c r="AV85" s="1508" t="n"/>
      <c r="AW85" s="1508" t="n"/>
      <c r="AX85" s="1508" t="n"/>
      <c r="AY85" s="1508" t="n"/>
      <c r="AZ85" s="1508" t="n"/>
      <c r="BA85" s="1508" t="n"/>
      <c r="BB85" s="1508" t="n"/>
      <c r="BC85" s="1508" t="n"/>
      <c r="BD85" s="1508" t="n"/>
      <c r="BE85" s="1508" t="n"/>
      <c r="BF85" s="1508" t="n"/>
      <c r="BG85" s="1508" t="n"/>
      <c r="BH85" s="1508" t="n"/>
      <c r="BI85" s="1508" t="n"/>
      <c r="BJ85" s="1508" t="n"/>
      <c r="BK85" s="1508" t="n"/>
      <c r="BL85" s="1508" t="n"/>
      <c r="BM85" s="1508" t="n"/>
      <c r="BN85" s="1508" t="n"/>
      <c r="BO85" s="1508" t="n"/>
      <c r="BP85" s="1508" t="n"/>
      <c r="BQ85" s="1508" t="n"/>
      <c r="BR85" s="1508" t="n"/>
      <c r="BS85" s="1508" t="n"/>
      <c r="BT85" s="1508" t="n"/>
      <c r="BU85" s="1508" t="n"/>
      <c r="BV85" s="1508" t="n"/>
      <c r="BW85" s="1508" t="n"/>
      <c r="BX85" s="1508" t="n"/>
      <c r="BY85" s="1508" t="n"/>
      <c r="BZ85" s="1508" t="n"/>
      <c r="CA85" s="1508" t="n"/>
      <c r="CB85" s="1508" t="n"/>
      <c r="CC85" s="1508" t="n"/>
      <c r="CD85" s="1508" t="n"/>
      <c r="CE85" s="1508" t="n"/>
      <c r="CF85" s="1508" t="n"/>
      <c r="CG85" s="1508" t="n"/>
      <c r="CH85" s="1508" t="n"/>
      <c r="CI85" s="1508" t="n"/>
      <c r="CJ85" s="1508" t="n"/>
      <c r="CK85" s="1508" t="n"/>
      <c r="CL85" s="1508" t="n"/>
      <c r="CM85" s="1508" t="n"/>
      <c r="CN85" s="1508" t="n"/>
      <c r="CO85" s="1508" t="n"/>
      <c r="CP85" s="1508" t="n"/>
      <c r="CQ85" s="1508" t="n"/>
      <c r="CR85" s="1508" t="n"/>
      <c r="CS85" s="1508" t="n"/>
      <c r="CT85" s="1508" t="n"/>
      <c r="CU85" s="1508" t="n"/>
      <c r="CV85" s="1508" t="n"/>
      <c r="CW85" s="1508" t="n"/>
      <c r="CX85" s="1508" t="n"/>
      <c r="CY85" s="1508" t="n"/>
      <c r="CZ85" s="1508" t="n"/>
      <c r="DA85" s="1508" t="n"/>
      <c r="DB85" s="1508" t="n"/>
      <c r="DC85" s="1508" t="n"/>
      <c r="DD85" s="1508" t="n"/>
      <c r="DE85" s="1508" t="n"/>
      <c r="DF85" s="1508" t="n"/>
      <c r="DG85" s="1508" t="n"/>
      <c r="DH85" s="1508" t="n"/>
      <c r="DI85" s="1508" t="n"/>
      <c r="DJ85" s="1508" t="n"/>
      <c r="DK85" s="1508" t="n"/>
      <c r="DL85" s="1508" t="n"/>
      <c r="DM85" s="1508" t="n"/>
      <c r="DN85" s="1508" t="n"/>
      <c r="DO85" s="1508" t="n"/>
      <c r="DP85" s="1508" t="n"/>
    </row>
    <row r="86">
      <c r="B86" s="730" t="n"/>
      <c r="C86" s="1509">
        <f>C82-C84</f>
        <v/>
      </c>
      <c r="D86" s="1509">
        <f>D82-D84</f>
        <v/>
      </c>
      <c r="E86" s="1509">
        <f>E82-E84</f>
        <v/>
      </c>
      <c r="F86" s="1509">
        <f>F82-F84</f>
        <v/>
      </c>
      <c r="G86" s="1509">
        <f>G82-G84</f>
        <v/>
      </c>
      <c r="H86" s="1509">
        <f>H82-H84</f>
        <v/>
      </c>
      <c r="I86" s="1509">
        <f>I82-I84</f>
        <v/>
      </c>
      <c r="J86" s="1509">
        <f>J82-J84</f>
        <v/>
      </c>
      <c r="K86" s="1509">
        <f>K82-K84</f>
        <v/>
      </c>
      <c r="L86" s="1509">
        <f>L82-L84</f>
        <v/>
      </c>
      <c r="M86" s="1509">
        <f>M82-M84</f>
        <v/>
      </c>
      <c r="N86" s="1509">
        <f>N82-N84</f>
        <v/>
      </c>
      <c r="O86" s="1509">
        <f>O82-O84</f>
        <v/>
      </c>
      <c r="P86" s="1509">
        <f>P82-P84</f>
        <v/>
      </c>
      <c r="Q86" s="1509">
        <f>Q82-Q84</f>
        <v/>
      </c>
      <c r="R86" s="1509">
        <f>R82-R84</f>
        <v/>
      </c>
      <c r="S86" s="1509">
        <f>S82-S84</f>
        <v/>
      </c>
      <c r="T86" s="1509">
        <f>T82-T84</f>
        <v/>
      </c>
      <c r="U86" s="1509">
        <f>U82-U84</f>
        <v/>
      </c>
      <c r="V86" s="1509">
        <f>V82-V84</f>
        <v/>
      </c>
      <c r="W86" s="1509">
        <f>W82-W84</f>
        <v/>
      </c>
      <c r="X86" s="1509">
        <f>X82-X84</f>
        <v/>
      </c>
      <c r="Y86" s="1509">
        <f>Y82-Y84</f>
        <v/>
      </c>
      <c r="Z86" s="1509">
        <f>Z82-Z84</f>
        <v/>
      </c>
      <c r="AA86" s="1509">
        <f>AA82-AA84</f>
        <v/>
      </c>
      <c r="AB86" s="1509">
        <f>AB82-AB84</f>
        <v/>
      </c>
      <c r="AC86" s="1509">
        <f>AC82-AC84</f>
        <v/>
      </c>
      <c r="AD86" s="1509">
        <f>AD82-AD84</f>
        <v/>
      </c>
      <c r="AE86" s="1509">
        <f>AE82-AE84</f>
        <v/>
      </c>
      <c r="AF86" s="1509">
        <f>AF82-AF84</f>
        <v/>
      </c>
      <c r="AG86" s="1509">
        <f>AG82-AG84</f>
        <v/>
      </c>
      <c r="AH86" s="1509">
        <f>AH82-AH84</f>
        <v/>
      </c>
      <c r="AI86" s="1509">
        <f>AI82-AI84</f>
        <v/>
      </c>
      <c r="AJ86" s="1509">
        <f>AJ82-AJ84</f>
        <v/>
      </c>
      <c r="AK86" s="1509">
        <f>AK82-AK84</f>
        <v/>
      </c>
      <c r="AL86" s="1509">
        <f>AL82-AL84</f>
        <v/>
      </c>
      <c r="AM86" s="1509">
        <f>AM82-AM84</f>
        <v/>
      </c>
      <c r="AN86" s="1509">
        <f>AN82-AN84</f>
        <v/>
      </c>
      <c r="AO86" s="1509">
        <f>AO82-AO84</f>
        <v/>
      </c>
      <c r="AP86" s="1509">
        <f>AP82-AP84</f>
        <v/>
      </c>
      <c r="AQ86" s="1509">
        <f>AQ82-AQ84</f>
        <v/>
      </c>
      <c r="AR86" s="1509">
        <f>AR82-AR84</f>
        <v/>
      </c>
      <c r="AS86" s="1509">
        <f>AS82-AS84</f>
        <v/>
      </c>
      <c r="AT86" s="1509">
        <f>AT82-AT84</f>
        <v/>
      </c>
      <c r="AU86" s="1509">
        <f>AU82-AU84</f>
        <v/>
      </c>
      <c r="AV86" s="1509">
        <f>AV82-AV84</f>
        <v/>
      </c>
      <c r="AW86" s="1509">
        <f>AW82-AW84</f>
        <v/>
      </c>
      <c r="AX86" s="1509">
        <f>AX82-AX84</f>
        <v/>
      </c>
      <c r="AY86" s="1509">
        <f>AY82-AY84</f>
        <v/>
      </c>
      <c r="AZ86" s="1509">
        <f>AZ82-AZ84</f>
        <v/>
      </c>
      <c r="BA86" s="1509">
        <f>BA82-BA84</f>
        <v/>
      </c>
      <c r="BB86" s="1509">
        <f>BB82-BB84</f>
        <v/>
      </c>
      <c r="BC86" s="1509">
        <f>BC82-BC84</f>
        <v/>
      </c>
      <c r="BD86" s="1509">
        <f>BD82-BD84</f>
        <v/>
      </c>
      <c r="BE86" s="1509">
        <f>BE82-BE84</f>
        <v/>
      </c>
      <c r="BF86" s="1509">
        <f>BF82-BF84</f>
        <v/>
      </c>
      <c r="BG86" s="1509">
        <f>BG82-BG84</f>
        <v/>
      </c>
      <c r="BH86" s="1509">
        <f>BH82-BH84</f>
        <v/>
      </c>
      <c r="BI86" s="1509">
        <f>BI82-BI84</f>
        <v/>
      </c>
      <c r="BJ86" s="1509">
        <f>BJ82-BJ84</f>
        <v/>
      </c>
      <c r="BK86" s="1509">
        <f>BK82-BK84</f>
        <v/>
      </c>
      <c r="BL86" s="1509">
        <f>BL82-BL84</f>
        <v/>
      </c>
      <c r="BM86" s="1509">
        <f>BM82-BM84</f>
        <v/>
      </c>
      <c r="BN86" s="1509">
        <f>BN82-BN84</f>
        <v/>
      </c>
      <c r="BO86" s="1509">
        <f>BO82-BO84</f>
        <v/>
      </c>
      <c r="BP86" s="1509">
        <f>BP82-BP84</f>
        <v/>
      </c>
      <c r="BQ86" s="1509">
        <f>BQ82-BQ84</f>
        <v/>
      </c>
      <c r="BR86" s="1509">
        <f>BR82-BR84</f>
        <v/>
      </c>
      <c r="BS86" s="1509">
        <f>BS82-BS84</f>
        <v/>
      </c>
      <c r="BT86" s="1509">
        <f>BT82-BT84</f>
        <v/>
      </c>
      <c r="BU86" s="1509">
        <f>BU82-BU84</f>
        <v/>
      </c>
      <c r="BV86" s="1509">
        <f>BV82-BV84</f>
        <v/>
      </c>
      <c r="BW86" s="1509">
        <f>BW82-BW84</f>
        <v/>
      </c>
      <c r="BX86" s="1509">
        <f>BX82-BX84</f>
        <v/>
      </c>
      <c r="BY86" s="1509">
        <f>BY82-BY84</f>
        <v/>
      </c>
      <c r="BZ86" s="1509">
        <f>BZ82-BZ84</f>
        <v/>
      </c>
      <c r="CA86" s="1509">
        <f>CA82-CA84</f>
        <v/>
      </c>
      <c r="CB86" s="1509">
        <f>CB82-CB84</f>
        <v/>
      </c>
      <c r="CC86" s="1509">
        <f>CC82-CC84</f>
        <v/>
      </c>
      <c r="CD86" s="1509">
        <f>CD82-CD84</f>
        <v/>
      </c>
      <c r="CE86" s="1509">
        <f>CE82-CE84</f>
        <v/>
      </c>
      <c r="CF86" s="1509">
        <f>CF82-CF84</f>
        <v/>
      </c>
      <c r="CG86" s="1509">
        <f>CG82-CG84</f>
        <v/>
      </c>
      <c r="CH86" s="1509">
        <f>CH82-CH84</f>
        <v/>
      </c>
      <c r="CI86" s="1509">
        <f>CI82-CI84</f>
        <v/>
      </c>
      <c r="CJ86" s="1509">
        <f>CJ82-CJ84</f>
        <v/>
      </c>
      <c r="CK86" s="1509">
        <f>CK82-CK84</f>
        <v/>
      </c>
      <c r="CL86" s="1509">
        <f>CL82-CL84</f>
        <v/>
      </c>
      <c r="CM86" s="1509">
        <f>CM82-CM84</f>
        <v/>
      </c>
      <c r="CN86" s="1509">
        <f>CN82-CN84</f>
        <v/>
      </c>
      <c r="CO86" s="1509">
        <f>CO82-CO84</f>
        <v/>
      </c>
      <c r="CP86" s="1509">
        <f>CP82-CP84</f>
        <v/>
      </c>
      <c r="CQ86" s="1509">
        <f>CQ82-CQ84</f>
        <v/>
      </c>
      <c r="CR86" s="1509">
        <f>CR82-CR84</f>
        <v/>
      </c>
      <c r="CS86" s="1509">
        <f>CS82-CS84</f>
        <v/>
      </c>
      <c r="CT86" s="1509">
        <f>CT82-CT84</f>
        <v/>
      </c>
      <c r="CU86" s="1509">
        <f>CU82-CU84</f>
        <v/>
      </c>
      <c r="CV86" s="1509">
        <f>CV82-CV84</f>
        <v/>
      </c>
      <c r="CW86" s="1509">
        <f>CW82-CW84</f>
        <v/>
      </c>
      <c r="CX86" s="1509">
        <f>CX82-CX84</f>
        <v/>
      </c>
      <c r="CY86" s="1509">
        <f>CY82-CY84</f>
        <v/>
      </c>
      <c r="CZ86" s="1509">
        <f>CZ82-CZ84</f>
        <v/>
      </c>
      <c r="DA86" s="1509">
        <f>DA82-DA84</f>
        <v/>
      </c>
      <c r="DB86" s="1509">
        <f>DB82-DB84</f>
        <v/>
      </c>
      <c r="DC86" s="1509">
        <f>DC82-DC84</f>
        <v/>
      </c>
      <c r="DD86" s="1509">
        <f>DD82-DD84</f>
        <v/>
      </c>
      <c r="DE86" s="1509">
        <f>DE82-DE84</f>
        <v/>
      </c>
      <c r="DF86" s="1509">
        <f>DF82-DF84</f>
        <v/>
      </c>
      <c r="DG86" s="1509">
        <f>DG82-DG84</f>
        <v/>
      </c>
      <c r="DH86" s="1509">
        <f>DH82-DH84</f>
        <v/>
      </c>
      <c r="DI86" s="1509">
        <f>DI82-DI84</f>
        <v/>
      </c>
      <c r="DJ86" s="1509">
        <f>DJ82-DJ84</f>
        <v/>
      </c>
      <c r="DK86" s="1509">
        <f>DK82-DK84</f>
        <v/>
      </c>
      <c r="DL86" s="1509">
        <f>DL82-DL84</f>
        <v/>
      </c>
      <c r="DM86" s="1509">
        <f>DM82-DM84</f>
        <v/>
      </c>
      <c r="DN86" s="1509">
        <f>DN82-DN84</f>
        <v/>
      </c>
      <c r="DO86" s="1509">
        <f>DO82-DO84</f>
        <v/>
      </c>
      <c r="DP86" s="1509">
        <f>DP82-DP84</f>
        <v/>
      </c>
    </row>
    <row r="87">
      <c r="C87" s="733" t="n"/>
      <c r="D87" s="733">
        <f>D86/D15</f>
        <v/>
      </c>
      <c r="E87" s="733">
        <f>E86/E15</f>
        <v/>
      </c>
      <c r="F87" s="733">
        <f>F86/F15</f>
        <v/>
      </c>
      <c r="G87" s="733">
        <f>G86/G15</f>
        <v/>
      </c>
      <c r="H87" s="733">
        <f>H86/H15</f>
        <v/>
      </c>
      <c r="I87" s="733">
        <f>I86/I15</f>
        <v/>
      </c>
      <c r="J87" s="733">
        <f>J86/J15</f>
        <v/>
      </c>
      <c r="K87" s="733">
        <f>K86/K15</f>
        <v/>
      </c>
      <c r="L87" s="733">
        <f>L86/L15</f>
        <v/>
      </c>
      <c r="M87" s="733">
        <f>M86/M15</f>
        <v/>
      </c>
      <c r="N87" s="733">
        <f>N86/N15</f>
        <v/>
      </c>
      <c r="O87" s="733">
        <f>O86/O15</f>
        <v/>
      </c>
      <c r="P87" s="733">
        <f>P86/P15</f>
        <v/>
      </c>
      <c r="Q87" s="733">
        <f>Q86/Q15</f>
        <v/>
      </c>
      <c r="R87" s="733">
        <f>R86/R15</f>
        <v/>
      </c>
      <c r="S87" s="733">
        <f>S86/S15</f>
        <v/>
      </c>
      <c r="T87" s="733">
        <f>T86/T15</f>
        <v/>
      </c>
      <c r="U87" s="733">
        <f>U86/U15</f>
        <v/>
      </c>
      <c r="V87" s="733">
        <f>V86/V15</f>
        <v/>
      </c>
      <c r="W87" s="733">
        <f>W86/W15</f>
        <v/>
      </c>
      <c r="X87" s="733">
        <f>X86/X15</f>
        <v/>
      </c>
      <c r="Y87" s="733">
        <f>Y86/Y15</f>
        <v/>
      </c>
      <c r="Z87" s="733">
        <f>Z86/Z15</f>
        <v/>
      </c>
      <c r="AA87" s="733">
        <f>AA86/AA15</f>
        <v/>
      </c>
      <c r="AB87" s="733">
        <f>AB86/AB15</f>
        <v/>
      </c>
      <c r="AC87" s="733">
        <f>AC86/AC15</f>
        <v/>
      </c>
      <c r="AD87" s="733">
        <f>AD86/AD15</f>
        <v/>
      </c>
      <c r="AE87" s="733">
        <f>AE86/AE15</f>
        <v/>
      </c>
      <c r="AF87" s="733">
        <f>AF86/AF15</f>
        <v/>
      </c>
      <c r="AG87" s="733">
        <f>AG86/AG15</f>
        <v/>
      </c>
      <c r="AH87" s="733">
        <f>AH86/AH15</f>
        <v/>
      </c>
      <c r="AI87" s="733">
        <f>AI86/AI15</f>
        <v/>
      </c>
      <c r="AJ87" s="733">
        <f>AJ86/AJ15</f>
        <v/>
      </c>
      <c r="AK87" s="733">
        <f>AK86/AK15</f>
        <v/>
      </c>
      <c r="AL87" s="733">
        <f>AL86/AL15</f>
        <v/>
      </c>
      <c r="AM87" s="733">
        <f>AM86/AM15</f>
        <v/>
      </c>
      <c r="AN87" s="733">
        <f>AN86/AN15</f>
        <v/>
      </c>
      <c r="AO87" s="733">
        <f>AO86/AO15</f>
        <v/>
      </c>
      <c r="AP87" s="733">
        <f>AP86/AP15</f>
        <v/>
      </c>
      <c r="AQ87" s="733">
        <f>AQ86/AQ15</f>
        <v/>
      </c>
      <c r="AR87" s="733">
        <f>AR86/AR15</f>
        <v/>
      </c>
      <c r="AS87" s="733">
        <f>AS86/AS15</f>
        <v/>
      </c>
      <c r="AT87" s="733">
        <f>AT86/AT15</f>
        <v/>
      </c>
      <c r="AU87" s="733">
        <f>AU86/AU15</f>
        <v/>
      </c>
      <c r="AV87" s="733">
        <f>AV86/AV15</f>
        <v/>
      </c>
      <c r="AW87" s="733">
        <f>AW86/AW15</f>
        <v/>
      </c>
      <c r="AX87" s="733">
        <f>AX86/AX15</f>
        <v/>
      </c>
      <c r="AY87" s="733">
        <f>AY86/AY15</f>
        <v/>
      </c>
      <c r="AZ87" s="733">
        <f>AZ86/AZ15</f>
        <v/>
      </c>
      <c r="BA87" s="733">
        <f>BA86/BA15</f>
        <v/>
      </c>
      <c r="BB87" s="733">
        <f>BB86/BB15</f>
        <v/>
      </c>
      <c r="BC87" s="733">
        <f>BC86/BC15</f>
        <v/>
      </c>
      <c r="BD87" s="733">
        <f>BD86/BD15</f>
        <v/>
      </c>
      <c r="BE87" s="733">
        <f>BE86/BE15</f>
        <v/>
      </c>
      <c r="BF87" s="733">
        <f>BF86/BF15</f>
        <v/>
      </c>
      <c r="BG87" s="733">
        <f>BG86/BG15</f>
        <v/>
      </c>
      <c r="BH87" s="733">
        <f>BH86/BH15</f>
        <v/>
      </c>
      <c r="BI87" s="733">
        <f>BI86/BI15</f>
        <v/>
      </c>
      <c r="BJ87" s="733">
        <f>BJ86/BJ15</f>
        <v/>
      </c>
      <c r="BK87" s="733">
        <f>BK86/BK15</f>
        <v/>
      </c>
      <c r="BL87" s="733">
        <f>BL86/BL15</f>
        <v/>
      </c>
      <c r="BM87" s="733">
        <f>BM86/BM15</f>
        <v/>
      </c>
      <c r="BN87" s="733">
        <f>BN86/BN15</f>
        <v/>
      </c>
      <c r="BO87" s="733">
        <f>BO86/BO15</f>
        <v/>
      </c>
      <c r="BP87" s="733">
        <f>BP86/BP15</f>
        <v/>
      </c>
      <c r="BQ87" s="733">
        <f>BQ86/BQ15</f>
        <v/>
      </c>
      <c r="BR87" s="733">
        <f>BR86/BR15</f>
        <v/>
      </c>
      <c r="BS87" s="733">
        <f>BS86/BS15</f>
        <v/>
      </c>
      <c r="BT87" s="733">
        <f>BT86/BT15</f>
        <v/>
      </c>
      <c r="BU87" s="733">
        <f>BU86/BU15</f>
        <v/>
      </c>
      <c r="BV87" s="733">
        <f>BV86/BV15</f>
        <v/>
      </c>
      <c r="BW87" s="733">
        <f>BW86/BW15</f>
        <v/>
      </c>
      <c r="BX87" s="733">
        <f>BX86/BX15</f>
        <v/>
      </c>
      <c r="BY87" s="733">
        <f>BY86/BY15</f>
        <v/>
      </c>
      <c r="BZ87" s="733">
        <f>BZ86/BZ15</f>
        <v/>
      </c>
      <c r="CA87" s="733">
        <f>CA86/CA15</f>
        <v/>
      </c>
      <c r="CB87" s="733">
        <f>CB86/CB15</f>
        <v/>
      </c>
      <c r="CC87" s="733">
        <f>CC86/CC15</f>
        <v/>
      </c>
      <c r="CD87" s="733">
        <f>CD86/CD15</f>
        <v/>
      </c>
      <c r="CE87" s="733">
        <f>CE86/CE15</f>
        <v/>
      </c>
      <c r="CF87" s="733">
        <f>CF86/CF15</f>
        <v/>
      </c>
      <c r="CG87" s="733">
        <f>CG86/CG15</f>
        <v/>
      </c>
      <c r="CH87" s="733">
        <f>CH86/CH15</f>
        <v/>
      </c>
      <c r="CI87" s="733">
        <f>CI86/CI15</f>
        <v/>
      </c>
      <c r="CJ87" s="733">
        <f>CJ86/CJ15</f>
        <v/>
      </c>
      <c r="CK87" s="733">
        <f>CK86/CK15</f>
        <v/>
      </c>
      <c r="CL87" s="733">
        <f>CL86/CL15</f>
        <v/>
      </c>
      <c r="CM87" s="733">
        <f>CM86/CM15</f>
        <v/>
      </c>
      <c r="CN87" s="733">
        <f>CN86/CN15</f>
        <v/>
      </c>
      <c r="CO87" s="733">
        <f>CO86/CO15</f>
        <v/>
      </c>
      <c r="CP87" s="733">
        <f>CP86/CP15</f>
        <v/>
      </c>
      <c r="CQ87" s="733">
        <f>CQ86/CQ15</f>
        <v/>
      </c>
      <c r="CR87" s="733">
        <f>CR86/CR15</f>
        <v/>
      </c>
      <c r="CS87" s="733">
        <f>CS86/CS15</f>
        <v/>
      </c>
      <c r="CT87" s="733">
        <f>CT86/CT15</f>
        <v/>
      </c>
      <c r="CU87" s="733">
        <f>CU86/CU15</f>
        <v/>
      </c>
      <c r="CV87" s="733">
        <f>CV86/CV15</f>
        <v/>
      </c>
      <c r="CW87" s="733">
        <f>CW86/CW15</f>
        <v/>
      </c>
      <c r="CX87" s="733">
        <f>CX86/CX15</f>
        <v/>
      </c>
      <c r="CY87" s="733">
        <f>CY86/CY15</f>
        <v/>
      </c>
      <c r="CZ87" s="733">
        <f>CZ86/CZ15</f>
        <v/>
      </c>
      <c r="DA87" s="733">
        <f>DA86/DA15</f>
        <v/>
      </c>
      <c r="DB87" s="733">
        <f>DB86/DB15</f>
        <v/>
      </c>
      <c r="DC87" s="733">
        <f>DC86/DC15</f>
        <v/>
      </c>
      <c r="DD87" s="733">
        <f>DD86/DD15</f>
        <v/>
      </c>
      <c r="DE87" s="733">
        <f>DE86/DE15</f>
        <v/>
      </c>
      <c r="DF87" s="733">
        <f>DF86/DF15</f>
        <v/>
      </c>
      <c r="DG87" s="733">
        <f>DG86/DG15</f>
        <v/>
      </c>
      <c r="DH87" s="733">
        <f>DH86/DH15</f>
        <v/>
      </c>
      <c r="DI87" s="733">
        <f>DI86/DI15</f>
        <v/>
      </c>
      <c r="DJ87" s="733">
        <f>DJ86/DJ15</f>
        <v/>
      </c>
      <c r="DK87" s="733">
        <f>DK86/DK15</f>
        <v/>
      </c>
      <c r="DL87" s="733">
        <f>DL86/DL15</f>
        <v/>
      </c>
      <c r="DM87" s="733">
        <f>DM86/DM15</f>
        <v/>
      </c>
      <c r="DN87" s="733">
        <f>DN86/DN15</f>
        <v/>
      </c>
      <c r="DO87" s="733">
        <f>DO86/DO15</f>
        <v/>
      </c>
      <c r="DP87" s="733">
        <f>DP86/DP15</f>
        <v/>
      </c>
    </row>
    <row r="88">
      <c r="C88" s="733" t="n"/>
      <c r="D88" s="733" t="n"/>
      <c r="E88" s="733" t="n"/>
      <c r="F88" s="733" t="n"/>
      <c r="G88" s="733" t="n"/>
      <c r="H88" s="733" t="n"/>
      <c r="I88" s="733" t="n"/>
      <c r="J88" s="733" t="n"/>
      <c r="K88" s="733" t="n"/>
      <c r="L88" s="733" t="n"/>
      <c r="M88" s="733" t="n"/>
      <c r="N88" s="733" t="n"/>
      <c r="O88" s="733" t="n"/>
      <c r="P88" s="733" t="n"/>
      <c r="Q88" s="733" t="n"/>
      <c r="R88" s="733" t="n"/>
      <c r="S88" s="733" t="n"/>
      <c r="T88" s="733" t="n"/>
      <c r="U88" s="733" t="n"/>
      <c r="V88" s="733" t="n"/>
      <c r="W88" s="733" t="n"/>
      <c r="X88" s="733" t="n"/>
      <c r="Y88" s="733" t="n"/>
      <c r="Z88" s="733" t="n"/>
      <c r="AA88" s="733" t="n"/>
      <c r="AB88" s="733" t="n"/>
      <c r="AC88" s="733" t="n"/>
      <c r="AD88" s="733" t="n"/>
      <c r="AE88" s="733" t="n"/>
      <c r="AF88" s="733" t="n"/>
      <c r="AG88" s="733" t="n"/>
      <c r="AH88" s="733" t="n"/>
      <c r="AI88" s="733" t="n"/>
      <c r="AJ88" s="733" t="n"/>
      <c r="AK88" s="733" t="n"/>
      <c r="AL88" s="733" t="n"/>
      <c r="AM88" s="733" t="n"/>
      <c r="AN88" s="733" t="n"/>
      <c r="AO88" s="733" t="n"/>
      <c r="AP88" s="733" t="n"/>
      <c r="AQ88" s="733" t="n"/>
      <c r="AR88" s="733" t="n"/>
      <c r="AS88" s="733" t="n"/>
      <c r="AT88" s="733" t="n"/>
      <c r="AU88" s="733" t="n"/>
      <c r="AV88" s="733" t="n"/>
      <c r="AW88" s="733" t="n"/>
      <c r="AX88" s="733" t="n"/>
      <c r="AY88" s="733" t="n"/>
      <c r="AZ88" s="733" t="n"/>
      <c r="BA88" s="733" t="n"/>
      <c r="BB88" s="733" t="n"/>
      <c r="BC88" s="733" t="n"/>
      <c r="BD88" s="733" t="n"/>
      <c r="BE88" s="733" t="n"/>
      <c r="BF88" s="733" t="n"/>
      <c r="BG88" s="733" t="n"/>
      <c r="BH88" s="733" t="n"/>
      <c r="BI88" s="733" t="n"/>
      <c r="BJ88" s="733" t="n"/>
      <c r="BK88" s="733" t="n"/>
      <c r="BL88" s="733" t="n"/>
      <c r="BM88" s="733" t="n"/>
      <c r="BN88" s="733" t="n"/>
      <c r="BO88" s="733" t="n"/>
      <c r="BP88" s="733" t="n"/>
      <c r="BQ88" s="733" t="n"/>
      <c r="BR88" s="733" t="n"/>
      <c r="BS88" s="733" t="n"/>
      <c r="BT88" s="733" t="n"/>
      <c r="BU88" s="733" t="n"/>
      <c r="BV88" s="733" t="n"/>
      <c r="BW88" s="733" t="n"/>
      <c r="BX88" s="733" t="n"/>
      <c r="BY88" s="733" t="n"/>
      <c r="BZ88" s="733" t="n"/>
      <c r="CA88" s="733" t="n"/>
      <c r="CB88" s="733" t="n"/>
      <c r="CC88" s="733" t="n"/>
      <c r="CD88" s="733" t="n"/>
      <c r="CE88" s="733" t="n"/>
      <c r="CF88" s="733" t="n"/>
      <c r="CG88" s="733" t="n"/>
      <c r="CH88" s="733" t="n"/>
      <c r="CI88" s="733" t="n"/>
      <c r="CJ88" s="733" t="n"/>
      <c r="CK88" s="733" t="n"/>
      <c r="CL88" s="733" t="n"/>
      <c r="CM88" s="733" t="n"/>
      <c r="CN88" s="733" t="n"/>
      <c r="CO88" s="733" t="n"/>
      <c r="CP88" s="733" t="n"/>
      <c r="CQ88" s="733" t="n"/>
      <c r="CR88" s="733" t="n"/>
      <c r="CS88" s="733" t="n"/>
      <c r="CT88" s="733" t="n"/>
      <c r="CU88" s="733" t="n"/>
      <c r="CV88" s="733" t="n"/>
      <c r="CW88" s="733" t="n"/>
      <c r="CX88" s="733" t="n"/>
      <c r="CY88" s="733" t="n"/>
      <c r="CZ88" s="733" t="n"/>
      <c r="DA88" s="733" t="n"/>
      <c r="DB88" s="733" t="n"/>
      <c r="DC88" s="733" t="n"/>
      <c r="DD88" s="733" t="n"/>
      <c r="DE88" s="733" t="n"/>
      <c r="DF88" s="733" t="n"/>
      <c r="DG88" s="733" t="n"/>
      <c r="DH88" s="733" t="n"/>
      <c r="DI88" s="733" t="n"/>
      <c r="DJ88" s="733" t="n"/>
      <c r="DK88" s="733" t="n"/>
      <c r="DL88" s="733" t="n"/>
      <c r="DM88" s="733" t="n"/>
      <c r="DN88" s="733" t="n"/>
      <c r="DO88" s="733" t="n"/>
      <c r="DP88" s="733" t="n"/>
    </row>
    <row r="89">
      <c r="B89" s="724" t="n"/>
      <c r="C89" s="1505" t="n"/>
      <c r="D89" s="1505" t="n"/>
      <c r="E89" s="1505" t="n"/>
      <c r="F89" s="1505" t="n"/>
      <c r="G89" s="1505" t="n"/>
      <c r="H89" s="1505" t="n"/>
      <c r="I89" s="1505" t="n"/>
      <c r="J89" s="1505" t="n"/>
      <c r="K89" s="1505" t="n"/>
      <c r="L89" s="1505" t="n"/>
      <c r="M89" s="1505" t="n"/>
      <c r="N89" s="1505" t="n"/>
      <c r="O89" s="1505" t="n"/>
      <c r="P89" s="1507">
        <f>SUM(C89:O89)</f>
        <v/>
      </c>
      <c r="Q89" s="1505" t="n"/>
      <c r="R89" s="1505" t="n"/>
      <c r="S89" s="1505" t="n"/>
      <c r="T89" s="1505" t="n"/>
      <c r="U89" s="1505" t="n"/>
      <c r="V89" s="1505" t="n"/>
      <c r="W89" s="1505" t="n"/>
      <c r="X89" s="1505" t="n"/>
      <c r="Y89" s="1505" t="n"/>
      <c r="Z89" s="1505" t="n"/>
      <c r="AA89" s="1505" t="n"/>
      <c r="AB89" s="1505" t="n"/>
      <c r="AC89" s="1507">
        <f>SUM(Q89:AB89)</f>
        <v/>
      </c>
      <c r="AD89" s="1505" t="n"/>
      <c r="AE89" s="1505" t="n"/>
      <c r="AF89" s="1505" t="n"/>
      <c r="AG89" s="1505" t="n"/>
      <c r="AH89" s="1505" t="n"/>
      <c r="AI89" s="1505" t="n"/>
      <c r="AJ89" s="1505" t="n"/>
      <c r="AK89" s="1505" t="n"/>
      <c r="AL89" s="1505" t="n"/>
      <c r="AM89" s="1505" t="n"/>
      <c r="AN89" s="1505" t="n"/>
      <c r="AO89" s="1505" t="n"/>
      <c r="AP89" s="1507">
        <f>SUM(AD89:AO89)</f>
        <v/>
      </c>
      <c r="AQ89" s="1505" t="n"/>
      <c r="AR89" s="1505" t="n"/>
      <c r="AS89" s="1505" t="n"/>
      <c r="AT89" s="1505" t="n"/>
      <c r="AU89" s="1505" t="n"/>
      <c r="AV89" s="1505" t="n"/>
      <c r="AW89" s="1505" t="n"/>
      <c r="AX89" s="1505" t="n"/>
      <c r="AY89" s="1505" t="n"/>
      <c r="AZ89" s="1505" t="n"/>
      <c r="BA89" s="1505" t="n"/>
      <c r="BB89" s="1505" t="n"/>
      <c r="BC89" s="1507">
        <f>SUM(AQ89:BB89)</f>
        <v/>
      </c>
      <c r="BD89" s="1505" t="n"/>
      <c r="BE89" s="1505" t="n"/>
      <c r="BF89" s="1505" t="n"/>
      <c r="BG89" s="1505" t="n"/>
      <c r="BH89" s="1505" t="n"/>
      <c r="BI89" s="1505" t="n"/>
      <c r="BJ89" s="1505" t="n"/>
      <c r="BK89" s="1505" t="n"/>
      <c r="BL89" s="1505" t="n"/>
      <c r="BM89" s="1505" t="n"/>
      <c r="BN89" s="1505" t="n"/>
      <c r="BO89" s="1505" t="n"/>
      <c r="BP89" s="1507">
        <f>SUM(BD89:BO89)</f>
        <v/>
      </c>
      <c r="BQ89" s="1505" t="n"/>
      <c r="BR89" s="1505" t="n"/>
      <c r="BS89" s="1505" t="n"/>
      <c r="BT89" s="1505" t="n"/>
      <c r="BU89" s="1505" t="n"/>
      <c r="BV89" s="1505" t="n"/>
      <c r="BW89" s="1505" t="n"/>
      <c r="BX89" s="1505" t="n"/>
      <c r="BY89" s="1505" t="n"/>
      <c r="BZ89" s="1505" t="n"/>
      <c r="CA89" s="1505" t="n"/>
      <c r="CB89" s="1505" t="n"/>
      <c r="CC89" s="1507">
        <f>SUM(BQ89:CB89)</f>
        <v/>
      </c>
      <c r="CD89" s="1505" t="n"/>
      <c r="CE89" s="1505" t="n"/>
      <c r="CF89" s="1505" t="n"/>
      <c r="CG89" s="1505" t="n"/>
      <c r="CH89" s="1505" t="n"/>
      <c r="CI89" s="1505" t="n"/>
      <c r="CJ89" s="1505" t="n"/>
      <c r="CK89" s="1505" t="n"/>
      <c r="CL89" s="1505" t="n"/>
      <c r="CM89" s="1505" t="n"/>
      <c r="CN89" s="1505" t="n"/>
      <c r="CO89" s="1505" t="n"/>
      <c r="CP89" s="1507">
        <f>SUM(CD89:CO89)</f>
        <v/>
      </c>
      <c r="CQ89" s="1505" t="n"/>
      <c r="CR89" s="1505" t="n"/>
      <c r="CS89" s="1505" t="n"/>
      <c r="CT89" s="1505" t="n"/>
      <c r="CU89" s="1505" t="n"/>
      <c r="CV89" s="1505" t="n"/>
      <c r="CW89" s="1505" t="n"/>
      <c r="CX89" s="1505" t="n"/>
      <c r="CY89" s="1505" t="n"/>
      <c r="CZ89" s="1505" t="n"/>
      <c r="DA89" s="1505" t="n"/>
      <c r="DB89" s="1505" t="n"/>
      <c r="DC89" s="1507">
        <f>SUM(CQ89:DB89)</f>
        <v/>
      </c>
      <c r="DD89" s="1505" t="n"/>
      <c r="DE89" s="1505" t="n"/>
      <c r="DF89" s="1505" t="n"/>
      <c r="DG89" s="1505" t="n"/>
      <c r="DH89" s="1505" t="n"/>
      <c r="DI89" s="1505" t="n"/>
      <c r="DJ89" s="1505" t="n"/>
      <c r="DK89" s="1505" t="n"/>
      <c r="DL89" s="1505" t="n"/>
      <c r="DM89" s="1505" t="n"/>
      <c r="DN89" s="1505" t="n"/>
      <c r="DO89" s="1505" t="n"/>
      <c r="DP89" s="1507">
        <f>SUM(DD89:DO89)</f>
        <v/>
      </c>
    </row>
    <row r="90"/>
    <row r="91">
      <c r="B91" s="730" t="n"/>
      <c r="C91" s="1509">
        <f>C86-C89</f>
        <v/>
      </c>
      <c r="D91" s="1509">
        <f>D86-D89</f>
        <v/>
      </c>
      <c r="E91" s="1509">
        <f>E86-E89</f>
        <v/>
      </c>
      <c r="F91" s="1509">
        <f>F86-F89</f>
        <v/>
      </c>
      <c r="G91" s="1509">
        <f>G86-G89</f>
        <v/>
      </c>
      <c r="H91" s="1509">
        <f>H86-H89</f>
        <v/>
      </c>
      <c r="I91" s="1509">
        <f>I86-I89</f>
        <v/>
      </c>
      <c r="J91" s="1509">
        <f>J86-J89</f>
        <v/>
      </c>
      <c r="K91" s="1509">
        <f>K86-K89</f>
        <v/>
      </c>
      <c r="L91" s="1509">
        <f>L86-L89</f>
        <v/>
      </c>
      <c r="M91" s="1509">
        <f>M86-M89</f>
        <v/>
      </c>
      <c r="N91" s="1509">
        <f>N86-N89</f>
        <v/>
      </c>
      <c r="O91" s="1509">
        <f>O86-O89</f>
        <v/>
      </c>
      <c r="P91" s="1509">
        <f>P86-P89</f>
        <v/>
      </c>
      <c r="Q91" s="1509">
        <f>Q86-Q89</f>
        <v/>
      </c>
      <c r="R91" s="1509">
        <f>R86-R89</f>
        <v/>
      </c>
      <c r="S91" s="1509">
        <f>S86-S89</f>
        <v/>
      </c>
      <c r="T91" s="1509">
        <f>T86-T89</f>
        <v/>
      </c>
      <c r="U91" s="1509">
        <f>U86-U89</f>
        <v/>
      </c>
      <c r="V91" s="1509">
        <f>V86-V89</f>
        <v/>
      </c>
      <c r="W91" s="1509">
        <f>W86-W89</f>
        <v/>
      </c>
      <c r="X91" s="1509">
        <f>X86-X89</f>
        <v/>
      </c>
      <c r="Y91" s="1509">
        <f>Y86-Y89</f>
        <v/>
      </c>
      <c r="Z91" s="1509">
        <f>Z86-Z89</f>
        <v/>
      </c>
      <c r="AA91" s="1509">
        <f>AA86-AA89</f>
        <v/>
      </c>
      <c r="AB91" s="1509">
        <f>AB86-AB89</f>
        <v/>
      </c>
      <c r="AC91" s="1509">
        <f>AC86-AC89</f>
        <v/>
      </c>
      <c r="AD91" s="1509">
        <f>AD86-AD89</f>
        <v/>
      </c>
      <c r="AE91" s="1509">
        <f>AE86-AE89</f>
        <v/>
      </c>
      <c r="AF91" s="1509">
        <f>AF86-AF89</f>
        <v/>
      </c>
      <c r="AG91" s="1509">
        <f>AG86-AG89</f>
        <v/>
      </c>
      <c r="AH91" s="1509">
        <f>AH86-AH89</f>
        <v/>
      </c>
      <c r="AI91" s="1509">
        <f>AI86-AI89</f>
        <v/>
      </c>
      <c r="AJ91" s="1509">
        <f>AJ86-AJ89</f>
        <v/>
      </c>
      <c r="AK91" s="1509">
        <f>AK86-AK89</f>
        <v/>
      </c>
      <c r="AL91" s="1509">
        <f>AL86-AL89</f>
        <v/>
      </c>
      <c r="AM91" s="1509">
        <f>AM86-AM89</f>
        <v/>
      </c>
      <c r="AN91" s="1509">
        <f>AN86-AN89</f>
        <v/>
      </c>
      <c r="AO91" s="1509">
        <f>AO86-AO89</f>
        <v/>
      </c>
      <c r="AP91" s="1509">
        <f>AP86-AP89</f>
        <v/>
      </c>
      <c r="AQ91" s="1509">
        <f>AQ86-AQ89</f>
        <v/>
      </c>
      <c r="AR91" s="1509">
        <f>AR86-AR89</f>
        <v/>
      </c>
      <c r="AS91" s="1509">
        <f>AS86-AS89</f>
        <v/>
      </c>
      <c r="AT91" s="1509">
        <f>AT86-AT89</f>
        <v/>
      </c>
      <c r="AU91" s="1509">
        <f>AU86-AU89</f>
        <v/>
      </c>
      <c r="AV91" s="1509">
        <f>AV86-AV89</f>
        <v/>
      </c>
      <c r="AW91" s="1509">
        <f>AW86-AW89</f>
        <v/>
      </c>
      <c r="AX91" s="1509">
        <f>AX86-AX89</f>
        <v/>
      </c>
      <c r="AY91" s="1509">
        <f>AY86-AY89</f>
        <v/>
      </c>
      <c r="AZ91" s="1509">
        <f>AZ86-AZ89</f>
        <v/>
      </c>
      <c r="BA91" s="1509">
        <f>BA86-BA89</f>
        <v/>
      </c>
      <c r="BB91" s="1509">
        <f>BB86-BB89</f>
        <v/>
      </c>
      <c r="BC91" s="1509">
        <f>BC86-BC89</f>
        <v/>
      </c>
      <c r="BD91" s="1509">
        <f>BD86-BD89</f>
        <v/>
      </c>
      <c r="BE91" s="1509">
        <f>BE86-BE89</f>
        <v/>
      </c>
      <c r="BF91" s="1509">
        <f>BF86-BF89</f>
        <v/>
      </c>
      <c r="BG91" s="1509">
        <f>BG86-BG89</f>
        <v/>
      </c>
      <c r="BH91" s="1509">
        <f>BH86-BH89</f>
        <v/>
      </c>
      <c r="BI91" s="1509">
        <f>BI86-BI89</f>
        <v/>
      </c>
      <c r="BJ91" s="1509">
        <f>BJ86-BJ89</f>
        <v/>
      </c>
      <c r="BK91" s="1509">
        <f>BK86-BK89</f>
        <v/>
      </c>
      <c r="BL91" s="1509">
        <f>BL86-BL89</f>
        <v/>
      </c>
      <c r="BM91" s="1509">
        <f>BM86-BM89</f>
        <v/>
      </c>
      <c r="BN91" s="1509">
        <f>BN86-BN89</f>
        <v/>
      </c>
      <c r="BO91" s="1509">
        <f>BO86-BO89</f>
        <v/>
      </c>
      <c r="BP91" s="1509">
        <f>BP86-BP89</f>
        <v/>
      </c>
      <c r="BQ91" s="1509">
        <f>BQ86-BQ89</f>
        <v/>
      </c>
      <c r="BR91" s="1509">
        <f>BR86-BR89</f>
        <v/>
      </c>
      <c r="BS91" s="1509">
        <f>BS86-BS89</f>
        <v/>
      </c>
      <c r="BT91" s="1509">
        <f>BT86-BT89</f>
        <v/>
      </c>
      <c r="BU91" s="1509">
        <f>BU86-BU89</f>
        <v/>
      </c>
      <c r="BV91" s="1509">
        <f>BV86-BV89</f>
        <v/>
      </c>
      <c r="BW91" s="1509">
        <f>BW86-BW89</f>
        <v/>
      </c>
      <c r="BX91" s="1509">
        <f>BX86-BX89</f>
        <v/>
      </c>
      <c r="BY91" s="1509">
        <f>BY86-BY89</f>
        <v/>
      </c>
      <c r="BZ91" s="1509">
        <f>BZ86-BZ89</f>
        <v/>
      </c>
      <c r="CA91" s="1509">
        <f>CA86-CA89</f>
        <v/>
      </c>
      <c r="CB91" s="1509">
        <f>CB86-CB89</f>
        <v/>
      </c>
      <c r="CC91" s="1509">
        <f>CC86-CC89</f>
        <v/>
      </c>
      <c r="CD91" s="1509">
        <f>CD86-CD89</f>
        <v/>
      </c>
      <c r="CE91" s="1509">
        <f>CE86-CE89</f>
        <v/>
      </c>
      <c r="CF91" s="1509">
        <f>CF86-CF89</f>
        <v/>
      </c>
      <c r="CG91" s="1509">
        <f>CG86-CG89</f>
        <v/>
      </c>
      <c r="CH91" s="1509">
        <f>CH86-CH89</f>
        <v/>
      </c>
      <c r="CI91" s="1509">
        <f>CI86-CI89</f>
        <v/>
      </c>
      <c r="CJ91" s="1509">
        <f>CJ86-CJ89</f>
        <v/>
      </c>
      <c r="CK91" s="1509">
        <f>CK86-CK89</f>
        <v/>
      </c>
      <c r="CL91" s="1509">
        <f>CL86-CL89</f>
        <v/>
      </c>
      <c r="CM91" s="1509">
        <f>CM86-CM89</f>
        <v/>
      </c>
      <c r="CN91" s="1509">
        <f>CN86-CN89</f>
        <v/>
      </c>
      <c r="CO91" s="1509">
        <f>CO86-CO89</f>
        <v/>
      </c>
      <c r="CP91" s="1509">
        <f>CP86-CP89</f>
        <v/>
      </c>
      <c r="CQ91" s="1509">
        <f>CQ86-CQ89</f>
        <v/>
      </c>
      <c r="CR91" s="1509">
        <f>CR86-CR89</f>
        <v/>
      </c>
      <c r="CS91" s="1509">
        <f>CS86-CS89</f>
        <v/>
      </c>
      <c r="CT91" s="1509">
        <f>CT86-CT89</f>
        <v/>
      </c>
      <c r="CU91" s="1509">
        <f>CU86-CU89</f>
        <v/>
      </c>
      <c r="CV91" s="1509">
        <f>CV86-CV89</f>
        <v/>
      </c>
      <c r="CW91" s="1509">
        <f>CW86-CW89</f>
        <v/>
      </c>
      <c r="CX91" s="1509">
        <f>CX86-CX89</f>
        <v/>
      </c>
      <c r="CY91" s="1509">
        <f>CY86-CY89</f>
        <v/>
      </c>
      <c r="CZ91" s="1509">
        <f>CZ86-CZ89</f>
        <v/>
      </c>
      <c r="DA91" s="1509">
        <f>DA86-DA89</f>
        <v/>
      </c>
      <c r="DB91" s="1509">
        <f>DB86-DB89</f>
        <v/>
      </c>
      <c r="DC91" s="1509">
        <f>DC86-DC89</f>
        <v/>
      </c>
      <c r="DD91" s="1509">
        <f>DD86-DD89</f>
        <v/>
      </c>
      <c r="DE91" s="1509">
        <f>DE86-DE89</f>
        <v/>
      </c>
      <c r="DF91" s="1509">
        <f>DF86-DF89</f>
        <v/>
      </c>
      <c r="DG91" s="1509">
        <f>DG86-DG89</f>
        <v/>
      </c>
      <c r="DH91" s="1509">
        <f>DH86-DH89</f>
        <v/>
      </c>
      <c r="DI91" s="1509">
        <f>DI86-DI89</f>
        <v/>
      </c>
      <c r="DJ91" s="1509">
        <f>DJ86-DJ89</f>
        <v/>
      </c>
      <c r="DK91" s="1509">
        <f>DK86-DK89</f>
        <v/>
      </c>
      <c r="DL91" s="1509">
        <f>DL86-DL89</f>
        <v/>
      </c>
      <c r="DM91" s="1509">
        <f>DM86-DM89</f>
        <v/>
      </c>
      <c r="DN91" s="1509">
        <f>DN86-DN89</f>
        <v/>
      </c>
      <c r="DO91" s="1509">
        <f>DO86-DO89</f>
        <v/>
      </c>
      <c r="DP91" s="1509">
        <f>DP86-DP89</f>
        <v/>
      </c>
    </row>
    <row r="92"/>
    <row r="93">
      <c r="P93" s="1555" t="n"/>
      <c r="Q93" s="1556" t="n"/>
      <c r="R93" s="1556" t="n"/>
      <c r="S93" s="1556" t="n"/>
      <c r="T93" s="1556" t="n"/>
      <c r="U93" s="1556" t="n"/>
      <c r="V93" s="1556" t="n"/>
      <c r="W93" s="1556" t="n"/>
      <c r="X93" s="1556" t="n"/>
      <c r="Y93" s="1556" t="n"/>
      <c r="Z93" s="1556" t="n"/>
      <c r="AA93" s="1556" t="n"/>
      <c r="AB93" s="1556" t="n"/>
      <c r="AC93" s="1555" t="n"/>
      <c r="AD93" s="1556" t="n"/>
      <c r="AE93" s="1556" t="n"/>
      <c r="AF93" s="1556" t="n"/>
      <c r="AG93" s="1556" t="n"/>
      <c r="AH93" s="1556" t="n"/>
      <c r="AI93" s="1556" t="n"/>
      <c r="AJ93" s="1556" t="n"/>
      <c r="AK93" s="1556" t="n"/>
      <c r="AL93" s="1556" t="n"/>
      <c r="AM93" s="1556" t="n"/>
      <c r="AN93" s="1556" t="n"/>
      <c r="AO93" s="1556" t="n"/>
      <c r="AP93" s="1555" t="n"/>
      <c r="AV93" s="1508" t="n"/>
    </row>
    <row r="94">
      <c r="P94" s="1552" t="n"/>
      <c r="AP94" s="1552" t="n"/>
      <c r="AR94" s="1508" t="n"/>
      <c r="BC94" s="1508" t="n"/>
    </row>
    <row r="95">
      <c r="B95" s="1557" t="n"/>
      <c r="C95" s="1558" t="n"/>
      <c r="D95" s="1559" t="n"/>
      <c r="E95" s="1559" t="n"/>
      <c r="F95" s="1559" t="n"/>
      <c r="G95" s="1559" t="n"/>
      <c r="H95" s="1559" t="n"/>
      <c r="I95" s="1559" t="n"/>
      <c r="J95" s="1559" t="n"/>
      <c r="K95" s="1559" t="n"/>
      <c r="L95" s="1559" t="n"/>
      <c r="M95" s="1559" t="n"/>
      <c r="N95" s="1559" t="n"/>
      <c r="O95" s="1559" t="n"/>
      <c r="P95" s="1559">
        <f>+P93-P91</f>
        <v/>
      </c>
      <c r="Q95" s="1559" t="n"/>
      <c r="R95" s="1559" t="n"/>
      <c r="S95" s="1559" t="n"/>
      <c r="T95" s="1559" t="n"/>
      <c r="U95" s="1559" t="n"/>
      <c r="V95" s="1559" t="n"/>
      <c r="W95" s="1559" t="n"/>
      <c r="X95" s="1559" t="n"/>
      <c r="Y95" s="1559" t="n"/>
      <c r="Z95" s="1559" t="n"/>
      <c r="AA95" s="1559" t="n"/>
      <c r="AB95" s="1559" t="n"/>
      <c r="AC95" s="1559">
        <f>+AC91-AC93</f>
        <v/>
      </c>
      <c r="AD95" s="1559" t="n"/>
      <c r="AE95" s="1559" t="n"/>
      <c r="AF95" s="1559" t="n"/>
      <c r="AG95" s="1559" t="n"/>
      <c r="AH95" s="1559" t="n"/>
      <c r="AI95" s="1559" t="n"/>
      <c r="AJ95" s="1559" t="n"/>
      <c r="AK95" s="1559" t="n"/>
      <c r="AL95" s="1559" t="n"/>
      <c r="AM95" s="1559" t="n"/>
      <c r="AN95" s="1559" t="n"/>
      <c r="AO95" s="1559" t="n"/>
      <c r="AP95" s="1559">
        <f>+AP93-AP91</f>
        <v/>
      </c>
      <c r="BC95" s="1508" t="n"/>
    </row>
    <row r="96" ht="15.75" customHeight="1" thickBot="1">
      <c r="P96" s="1552" t="n"/>
      <c r="AP96" s="1552" t="n"/>
    </row>
    <row r="97" ht="15.75" customHeight="1" thickBot="1">
      <c r="P97" s="743" t="n"/>
      <c r="Q97" s="744" t="n"/>
      <c r="R97" s="744" t="n"/>
      <c r="S97" s="744" t="n"/>
      <c r="T97" s="744" t="n"/>
      <c r="U97" s="744" t="n"/>
      <c r="V97" s="744" t="n"/>
      <c r="W97" s="744" t="n"/>
      <c r="X97" s="744" t="n"/>
      <c r="Y97" s="744" t="n"/>
      <c r="Z97" s="744" t="n"/>
      <c r="AA97" s="744" t="n"/>
      <c r="AB97" s="744" t="n"/>
      <c r="AC97" s="744" t="n"/>
      <c r="AD97" s="744" t="n"/>
      <c r="AE97" s="744" t="n"/>
      <c r="AF97" s="744" t="n"/>
      <c r="AG97" s="744" t="n"/>
      <c r="AH97" s="744" t="n"/>
      <c r="AI97" s="744" t="n"/>
      <c r="AJ97" s="744" t="n"/>
      <c r="AK97" s="744" t="n"/>
      <c r="AL97" s="744" t="n"/>
      <c r="AM97" s="744" t="n"/>
      <c r="AN97" s="744" t="n"/>
      <c r="AO97" s="744" t="n"/>
      <c r="AP97" s="1560" t="n"/>
      <c r="AQ97" s="744" t="n"/>
      <c r="AR97" s="744" t="n"/>
      <c r="AS97" s="744" t="n"/>
      <c r="AT97" s="744" t="n"/>
      <c r="AU97" s="744" t="n"/>
      <c r="AV97" s="744" t="n"/>
      <c r="AW97" s="744" t="n"/>
      <c r="AX97" s="744" t="n"/>
      <c r="AY97" s="744" t="n"/>
      <c r="AZ97" s="744" t="n"/>
      <c r="BA97" s="744" t="n"/>
      <c r="BB97" s="744" t="n"/>
      <c r="BC97" s="744" t="n"/>
      <c r="BD97" s="744" t="n"/>
      <c r="BE97" s="744" t="n"/>
      <c r="BF97" s="744" t="n"/>
      <c r="BG97" s="744" t="n"/>
      <c r="BH97" s="744" t="n"/>
      <c r="BI97" s="744" t="n"/>
      <c r="BJ97" s="744" t="n"/>
      <c r="BK97" s="744" t="n"/>
      <c r="BL97" s="744" t="n"/>
      <c r="BM97" s="744" t="n"/>
      <c r="BN97" s="744" t="n"/>
      <c r="BO97" s="744" t="n"/>
      <c r="BP97" s="744" t="n"/>
      <c r="BQ97" s="744" t="n"/>
      <c r="BR97" s="744" t="n"/>
      <c r="BS97" s="744" t="n"/>
      <c r="BT97" s="744" t="n"/>
      <c r="BU97" s="744" t="n"/>
      <c r="BV97" s="744" t="n"/>
      <c r="BW97" s="744" t="n"/>
      <c r="BX97" s="744" t="n"/>
      <c r="BY97" s="744" t="n"/>
      <c r="BZ97" s="744" t="n"/>
      <c r="CA97" s="744" t="n"/>
      <c r="CB97" s="744" t="n"/>
      <c r="CC97" s="744" t="n"/>
      <c r="CD97" s="744" t="n"/>
      <c r="CE97" s="744" t="n"/>
      <c r="CF97" s="744" t="n"/>
      <c r="CG97" s="744" t="n"/>
      <c r="CH97" s="744" t="n"/>
      <c r="CI97" s="744" t="n"/>
      <c r="CJ97" s="744" t="n"/>
      <c r="CK97" s="744" t="n"/>
      <c r="CL97" s="744" t="n"/>
      <c r="CM97" s="744" t="n"/>
      <c r="CN97" s="744" t="n"/>
      <c r="CO97" s="744" t="n"/>
      <c r="CP97" s="744" t="n"/>
      <c r="CQ97" s="744" t="n"/>
      <c r="CR97" s="744" t="n"/>
      <c r="CS97" s="744" t="n"/>
      <c r="CT97" s="744" t="n"/>
      <c r="CU97" s="744" t="n"/>
      <c r="CV97" s="744" t="n"/>
      <c r="CW97" s="744" t="n"/>
      <c r="CX97" s="744" t="n"/>
      <c r="CY97" s="744" t="n"/>
      <c r="CZ97" s="744" t="n"/>
      <c r="DA97" s="744" t="n"/>
      <c r="DB97" s="744" t="n"/>
      <c r="DC97" s="744" t="n"/>
      <c r="DD97" s="744" t="n"/>
      <c r="DE97" s="744" t="n"/>
      <c r="DF97" s="744" t="n"/>
      <c r="DG97" s="744" t="n"/>
      <c r="DH97" s="744" t="n"/>
      <c r="DI97" s="744" t="n"/>
      <c r="DJ97" s="744" t="n"/>
      <c r="DK97" s="744" t="n"/>
      <c r="DL97" s="744" t="n"/>
      <c r="DM97" s="744" t="n"/>
      <c r="DN97" s="744" t="n"/>
      <c r="DO97" s="744" t="n"/>
      <c r="DP97" s="744" t="n"/>
      <c r="DQ97" s="744" t="n"/>
      <c r="DR97" s="744" t="n"/>
      <c r="DS97" s="744" t="n"/>
      <c r="DT97" s="744" t="n"/>
      <c r="DU97" s="744" t="n"/>
      <c r="DV97" s="746" t="n"/>
    </row>
    <row r="98">
      <c r="P98" s="747" t="n"/>
      <c r="Q98" s="1560" t="n"/>
      <c r="R98" s="1560" t="n"/>
      <c r="S98" s="1560" t="n"/>
      <c r="T98" s="1560" t="n"/>
      <c r="U98" s="1560" t="n"/>
      <c r="V98" s="1560" t="n"/>
      <c r="W98" s="1560" t="n"/>
      <c r="X98" s="1560" t="n"/>
      <c r="Y98" s="1560" t="n"/>
      <c r="Z98" s="1560" t="n"/>
      <c r="AA98" s="1560" t="n"/>
      <c r="AB98" s="1560" t="n"/>
      <c r="AC98" s="1560" t="n"/>
      <c r="AD98" s="1560" t="n"/>
      <c r="AE98" s="1560" t="n"/>
      <c r="AF98" s="1560" t="n"/>
      <c r="AG98" s="1560" t="n"/>
      <c r="AH98" s="1560" t="n"/>
      <c r="AI98" s="1560" t="n"/>
      <c r="AJ98" s="1560" t="n"/>
      <c r="AK98" s="1560" t="n"/>
      <c r="AL98" s="1560" t="n"/>
      <c r="AM98" s="1560" t="n"/>
      <c r="AN98" s="1560" t="n"/>
      <c r="AO98" s="1560" t="n"/>
      <c r="AP98" s="1560" t="n"/>
      <c r="AQ98" s="1560" t="n"/>
      <c r="AR98" s="1560" t="n"/>
      <c r="AS98" s="1560" t="n"/>
      <c r="AT98" s="1560" t="n"/>
      <c r="AU98" s="1560" t="n"/>
      <c r="AV98" s="1560" t="n"/>
      <c r="AW98" s="1560" t="n"/>
      <c r="AX98" s="1560" t="n"/>
      <c r="AY98" s="1560" t="n"/>
      <c r="AZ98" s="1560" t="n"/>
      <c r="BA98" s="1560" t="n"/>
      <c r="BB98" s="1560" t="n"/>
      <c r="BC98" s="1560" t="n"/>
      <c r="BD98" s="744" t="n"/>
      <c r="BE98" s="744" t="n"/>
      <c r="BF98" s="744" t="n"/>
      <c r="BG98" s="744" t="n"/>
      <c r="BH98" s="744" t="n"/>
      <c r="BI98" s="744" t="n"/>
      <c r="BJ98" s="744" t="n"/>
      <c r="BK98" s="744" t="n"/>
      <c r="BL98" s="744" t="n"/>
      <c r="BM98" s="744" t="n"/>
      <c r="BN98" s="744" t="n"/>
      <c r="BO98" s="744" t="n"/>
      <c r="BP98" s="1560" t="n"/>
      <c r="BQ98" s="1560" t="n"/>
      <c r="BR98" s="1560" t="n"/>
      <c r="BS98" s="1560" t="n"/>
      <c r="BT98" s="1560" t="n"/>
      <c r="BU98" s="1560" t="n"/>
      <c r="BV98" s="1560" t="n"/>
      <c r="BW98" s="1560" t="n"/>
      <c r="BX98" s="1560" t="n"/>
      <c r="BY98" s="1560" t="n"/>
      <c r="BZ98" s="1560" t="n"/>
      <c r="CA98" s="1560" t="n"/>
      <c r="CB98" s="1560" t="n"/>
      <c r="CC98" s="1560" t="n"/>
      <c r="CD98" s="1560" t="n"/>
      <c r="CE98" s="1560" t="n"/>
      <c r="CF98" s="1560" t="n"/>
      <c r="CG98" s="1560" t="n"/>
      <c r="CH98" s="1560" t="n"/>
      <c r="CI98" s="1560" t="n"/>
      <c r="CJ98" s="1560" t="n"/>
      <c r="CK98" s="1560" t="n"/>
      <c r="CL98" s="1560" t="n"/>
      <c r="CM98" s="1560" t="n"/>
      <c r="CN98" s="1560" t="n"/>
      <c r="CO98" s="1560" t="n"/>
      <c r="CP98" s="1560" t="n"/>
      <c r="CQ98" s="1560" t="n"/>
      <c r="CR98" s="1560" t="n"/>
      <c r="CS98" s="1560" t="n"/>
      <c r="CT98" s="1560" t="n"/>
      <c r="CU98" s="1560" t="n"/>
      <c r="CV98" s="1560" t="n"/>
      <c r="CW98" s="1560" t="n"/>
      <c r="CX98" s="1560" t="n"/>
      <c r="CY98" s="1560" t="n"/>
      <c r="CZ98" s="1560" t="n"/>
      <c r="DA98" s="1560" t="n"/>
      <c r="DB98" s="1560" t="n"/>
      <c r="DC98" s="1560" t="n"/>
      <c r="DD98" s="744" t="n"/>
      <c r="DE98" s="744" t="n"/>
      <c r="DF98" s="744" t="n"/>
      <c r="DG98" s="744" t="n"/>
      <c r="DH98" s="744" t="n"/>
      <c r="DI98" s="744" t="n"/>
      <c r="DJ98" s="744" t="n"/>
      <c r="DK98" s="744" t="n"/>
      <c r="DL98" s="744" t="n"/>
      <c r="DM98" s="744" t="n"/>
      <c r="DN98" s="744" t="n"/>
      <c r="DO98" s="744" t="n"/>
      <c r="DP98" s="1560" t="n"/>
      <c r="DQ98" s="744" t="n"/>
      <c r="DR98" s="744" t="n"/>
      <c r="DS98" s="744" t="n"/>
      <c r="DT98" s="744" t="n"/>
      <c r="DU98" s="744" t="n"/>
      <c r="DV98" s="746" t="n"/>
    </row>
    <row r="99">
      <c r="C99" s="1552" t="n"/>
      <c r="P99" s="749" t="n"/>
      <c r="Q99" s="750" t="n"/>
      <c r="R99" s="750" t="n"/>
      <c r="S99" s="750" t="n"/>
      <c r="T99" s="750" t="n"/>
      <c r="U99" s="750" t="n"/>
      <c r="V99" s="750" t="n"/>
      <c r="W99" s="750" t="n"/>
      <c r="X99" s="750" t="n"/>
      <c r="Y99" s="750" t="n"/>
      <c r="Z99" s="750" t="n"/>
      <c r="AA99" s="750" t="n"/>
      <c r="AB99" s="750" t="n"/>
      <c r="AC99" s="750" t="n"/>
      <c r="AD99" s="750" t="n"/>
      <c r="AE99" s="750" t="n"/>
      <c r="AF99" s="750" t="n"/>
      <c r="AG99" s="750" t="n"/>
      <c r="AH99" s="750" t="n"/>
      <c r="AI99" s="750" t="n"/>
      <c r="AJ99" s="750" t="n"/>
      <c r="AK99" s="750" t="n"/>
      <c r="AL99" s="750" t="n"/>
      <c r="AM99" s="750" t="n"/>
      <c r="AN99" s="750" t="n"/>
      <c r="AO99" s="750" t="n"/>
      <c r="AP99" s="750" t="n"/>
      <c r="AQ99" s="750" t="n"/>
      <c r="AR99" s="750" t="n"/>
      <c r="AS99" s="750" t="n"/>
      <c r="AT99" s="750" t="n"/>
      <c r="AU99" s="750" t="n"/>
      <c r="AV99" s="750" t="n"/>
      <c r="AW99" s="750" t="n"/>
      <c r="AX99" s="750" t="n"/>
      <c r="AY99" s="750" t="n"/>
      <c r="AZ99" s="750" t="n"/>
      <c r="BA99" s="750" t="n"/>
      <c r="BB99" s="750" t="n"/>
      <c r="BC99" s="750" t="n"/>
      <c r="BD99" s="750" t="n"/>
      <c r="BE99" s="750" t="n"/>
      <c r="BF99" s="750" t="n"/>
      <c r="BG99" s="750" t="n"/>
      <c r="BH99" s="750" t="n"/>
      <c r="BI99" s="750" t="n"/>
      <c r="BJ99" s="750" t="n"/>
      <c r="BK99" s="750" t="n"/>
      <c r="BL99" s="750" t="n"/>
      <c r="BM99" s="750" t="n"/>
      <c r="BN99" s="750" t="n"/>
      <c r="BO99" s="750" t="n"/>
      <c r="BP99" s="750" t="n"/>
      <c r="BQ99" s="750" t="n"/>
      <c r="BR99" s="750" t="n"/>
      <c r="BS99" s="750" t="n"/>
      <c r="BT99" s="750" t="n"/>
      <c r="BU99" s="750" t="n"/>
      <c r="BV99" s="750" t="n"/>
      <c r="BW99" s="750" t="n"/>
      <c r="BX99" s="750" t="n"/>
      <c r="BY99" s="750" t="n"/>
      <c r="BZ99" s="750" t="n"/>
      <c r="CA99" s="750" t="n"/>
      <c r="CB99" s="750" t="n"/>
      <c r="CC99" s="750" t="n"/>
      <c r="CD99" s="750" t="n"/>
      <c r="CE99" s="750" t="n"/>
      <c r="CF99" s="750" t="n"/>
      <c r="CG99" s="750" t="n"/>
      <c r="CH99" s="750" t="n"/>
      <c r="CI99" s="750" t="n"/>
      <c r="CJ99" s="750" t="n"/>
      <c r="CK99" s="750" t="n"/>
      <c r="CL99" s="750" t="n"/>
      <c r="CM99" s="750" t="n"/>
      <c r="CN99" s="750" t="n"/>
      <c r="CO99" s="750" t="n"/>
      <c r="CP99" s="750" t="n"/>
      <c r="CQ99" s="750" t="n"/>
      <c r="CR99" s="750" t="n"/>
      <c r="CS99" s="750" t="n"/>
      <c r="CT99" s="750" t="n"/>
      <c r="CU99" s="750" t="n"/>
      <c r="CV99" s="750" t="n"/>
      <c r="CW99" s="750" t="n"/>
      <c r="CX99" s="750" t="n"/>
      <c r="CY99" s="750" t="n"/>
      <c r="CZ99" s="750" t="n"/>
      <c r="DA99" s="750" t="n"/>
      <c r="DB99" s="750" t="n"/>
      <c r="DC99" s="750" t="n"/>
      <c r="DD99" s="750" t="n"/>
      <c r="DE99" s="750" t="n"/>
      <c r="DF99" s="750" t="n"/>
      <c r="DG99" s="750" t="n"/>
      <c r="DH99" s="750" t="n"/>
      <c r="DI99" s="750" t="n"/>
      <c r="DJ99" s="750" t="n"/>
      <c r="DK99" s="750" t="n"/>
      <c r="DL99" s="750" t="n"/>
      <c r="DM99" s="750" t="n"/>
      <c r="DN99" s="750" t="n"/>
      <c r="DO99" s="750" t="n"/>
      <c r="DP99" s="750" t="n"/>
      <c r="DQ99" s="750" t="n"/>
      <c r="DR99" s="750" t="n"/>
      <c r="DS99" s="750" t="n"/>
      <c r="DT99" s="750" t="n"/>
      <c r="DU99" s="750" t="n"/>
      <c r="DV99" s="751" t="n"/>
    </row>
    <row r="100">
      <c r="C100" s="1552" t="n"/>
      <c r="P100" s="749" t="n"/>
      <c r="Q100" s="750" t="n"/>
      <c r="R100" s="750" t="n"/>
      <c r="S100" s="750" t="n"/>
      <c r="T100" s="750" t="n"/>
      <c r="U100" s="750" t="n"/>
      <c r="V100" s="750" t="n"/>
      <c r="W100" s="750" t="n"/>
      <c r="X100" s="750" t="n"/>
      <c r="Y100" s="750" t="n"/>
      <c r="Z100" s="750" t="n"/>
      <c r="AA100" s="750" t="n"/>
      <c r="AB100" s="750" t="n"/>
      <c r="AC100" s="750" t="n"/>
      <c r="AD100" s="750" t="n"/>
      <c r="AE100" s="750" t="n"/>
      <c r="AF100" s="750" t="n"/>
      <c r="AG100" s="750" t="n"/>
      <c r="AH100" s="750" t="n"/>
      <c r="AI100" s="750" t="n"/>
      <c r="AJ100" s="750" t="n"/>
      <c r="AK100" s="750" t="n"/>
      <c r="AL100" s="750" t="n"/>
      <c r="AM100" s="750" t="n"/>
      <c r="AN100" s="750" t="n"/>
      <c r="AO100" s="750" t="n"/>
      <c r="AP100" s="750" t="n"/>
      <c r="AQ100" s="750" t="n"/>
      <c r="AR100" s="750" t="n"/>
      <c r="AS100" s="750" t="n"/>
      <c r="AT100" s="750" t="n"/>
      <c r="AU100" s="750" t="n"/>
      <c r="AV100" s="750" t="n"/>
      <c r="AW100" s="750" t="n"/>
      <c r="AX100" s="750" t="n"/>
      <c r="AY100" s="750" t="n"/>
      <c r="AZ100" s="750" t="n"/>
      <c r="BA100" s="750" t="n"/>
      <c r="BB100" s="750" t="n"/>
      <c r="BC100" s="750" t="n"/>
      <c r="BD100" s="750" t="n"/>
      <c r="BE100" s="750" t="n"/>
      <c r="BF100" s="750" t="n"/>
      <c r="BG100" s="750" t="n"/>
      <c r="BH100" s="750" t="n"/>
      <c r="BI100" s="750" t="n"/>
      <c r="BJ100" s="750" t="n"/>
      <c r="BK100" s="750" t="n"/>
      <c r="BL100" s="750" t="n"/>
      <c r="BM100" s="750" t="n"/>
      <c r="BN100" s="750" t="n"/>
      <c r="BO100" s="750" t="n"/>
      <c r="BP100" s="750" t="n"/>
      <c r="BQ100" s="750" t="n"/>
      <c r="BR100" s="750" t="n"/>
      <c r="BS100" s="750" t="n"/>
      <c r="BT100" s="750" t="n"/>
      <c r="BU100" s="750" t="n"/>
      <c r="BV100" s="750" t="n"/>
      <c r="BW100" s="750" t="n"/>
      <c r="BX100" s="750" t="n"/>
      <c r="BY100" s="750" t="n"/>
      <c r="BZ100" s="750" t="n"/>
      <c r="CA100" s="750" t="n"/>
      <c r="CB100" s="750" t="n"/>
      <c r="CC100" s="750" t="n"/>
      <c r="CD100" s="750" t="n"/>
      <c r="CE100" s="750" t="n"/>
      <c r="CF100" s="750" t="n"/>
      <c r="CG100" s="750" t="n"/>
      <c r="CH100" s="750" t="n"/>
      <c r="CI100" s="750" t="n"/>
      <c r="CJ100" s="750" t="n"/>
      <c r="CK100" s="750" t="n"/>
      <c r="CL100" s="750" t="n"/>
      <c r="CM100" s="750" t="n"/>
      <c r="CN100" s="750" t="n"/>
      <c r="CO100" s="750" t="n"/>
      <c r="CP100" s="750" t="n"/>
      <c r="CQ100" s="750" t="n"/>
      <c r="CR100" s="750" t="n"/>
      <c r="CS100" s="750" t="n"/>
      <c r="CT100" s="750" t="n"/>
      <c r="CU100" s="750" t="n"/>
      <c r="CV100" s="750" t="n"/>
      <c r="CW100" s="750" t="n"/>
      <c r="CX100" s="750" t="n"/>
      <c r="CY100" s="750" t="n"/>
      <c r="CZ100" s="750" t="n"/>
      <c r="DA100" s="750" t="n"/>
      <c r="DB100" s="750" t="n"/>
      <c r="DC100" s="750" t="n"/>
      <c r="DD100" s="750" t="n"/>
      <c r="DE100" s="750" t="n"/>
      <c r="DF100" s="750" t="n"/>
      <c r="DG100" s="750" t="n"/>
      <c r="DH100" s="750" t="n"/>
      <c r="DI100" s="750" t="n"/>
      <c r="DJ100" s="750" t="n"/>
      <c r="DK100" s="750" t="n"/>
      <c r="DL100" s="750" t="n"/>
      <c r="DM100" s="750" t="n"/>
      <c r="DN100" s="750" t="n"/>
      <c r="DO100" s="750" t="n"/>
      <c r="DP100" s="750" t="n"/>
      <c r="DQ100" s="750" t="n"/>
      <c r="DR100" s="750" t="n"/>
      <c r="DS100" s="750" t="n"/>
      <c r="DT100" s="750" t="n"/>
      <c r="DU100" s="750" t="n"/>
      <c r="DV100" s="751" t="n"/>
    </row>
    <row r="101" ht="15.75" customHeight="1" thickBot="1">
      <c r="C101" s="1552" t="n"/>
      <c r="D101" s="1508" t="n"/>
      <c r="E101" s="1508" t="n"/>
      <c r="F101" s="1508" t="n"/>
      <c r="G101" s="1508" t="n"/>
      <c r="H101" s="1508" t="n"/>
      <c r="I101" s="1508" t="n"/>
      <c r="J101" s="1508" t="n"/>
      <c r="K101" s="1508" t="n"/>
      <c r="L101" s="1508" t="n"/>
      <c r="M101" s="1508" t="n"/>
      <c r="N101" s="1508" t="n"/>
      <c r="O101" s="1508" t="n"/>
      <c r="P101" s="1561" t="n"/>
      <c r="Q101" s="1562" t="n"/>
      <c r="R101" s="1562" t="n"/>
      <c r="S101" s="1562" t="n"/>
      <c r="T101" s="1562" t="n"/>
      <c r="U101" s="1562" t="n"/>
      <c r="V101" s="1562" t="n"/>
      <c r="W101" s="1562" t="n"/>
      <c r="X101" s="1562" t="n"/>
      <c r="Y101" s="1562" t="n"/>
      <c r="Z101" s="1562" t="n"/>
      <c r="AA101" s="1562" t="n"/>
      <c r="AB101" s="1562" t="n"/>
      <c r="AC101" s="754" t="n"/>
      <c r="AD101" s="1562" t="n"/>
      <c r="AE101" s="1562" t="n"/>
      <c r="AF101" s="1562" t="n"/>
      <c r="AG101" s="1562" t="n"/>
      <c r="AH101" s="1562" t="n"/>
      <c r="AI101" s="1562" t="n"/>
      <c r="AJ101" s="1562" t="n"/>
      <c r="AK101" s="1562" t="n"/>
      <c r="AL101" s="1562" t="n"/>
      <c r="AM101" s="1562" t="n"/>
      <c r="AN101" s="1562" t="n"/>
      <c r="AO101" s="1562" t="n"/>
      <c r="AP101" s="754" t="n"/>
      <c r="AQ101" s="754" t="n"/>
      <c r="AR101" s="754" t="n"/>
      <c r="AS101" s="754" t="n"/>
      <c r="AT101" s="754" t="n"/>
      <c r="AU101" s="754" t="n"/>
      <c r="AV101" s="754" t="n"/>
      <c r="AW101" s="754" t="n"/>
      <c r="AX101" s="754" t="n"/>
      <c r="AY101" s="754" t="n"/>
      <c r="AZ101" s="754" t="n"/>
      <c r="BA101" s="754" t="n"/>
      <c r="BB101" s="754" t="n"/>
      <c r="BC101" s="754" t="n"/>
      <c r="BD101" s="1562" t="n"/>
      <c r="BE101" s="1562" t="n"/>
      <c r="BF101" s="1562" t="n"/>
      <c r="BG101" s="1562" t="n"/>
      <c r="BH101" s="1562" t="n"/>
      <c r="BI101" s="1562" t="n"/>
      <c r="BJ101" s="1562" t="n"/>
      <c r="BK101" s="1562" t="n"/>
      <c r="BL101" s="1562" t="n"/>
      <c r="BM101" s="1562" t="n"/>
      <c r="BN101" s="1562" t="n"/>
      <c r="BO101" s="1562" t="n"/>
      <c r="BP101" s="1562" t="n"/>
      <c r="BQ101" s="1562" t="n"/>
      <c r="BR101" s="1562" t="n"/>
      <c r="BS101" s="1562" t="n"/>
      <c r="BT101" s="1562" t="n"/>
      <c r="BU101" s="1562" t="n"/>
      <c r="BV101" s="1562" t="n"/>
      <c r="BW101" s="1562" t="n"/>
      <c r="BX101" s="1562" t="n"/>
      <c r="BY101" s="1562" t="n"/>
      <c r="BZ101" s="1562" t="n"/>
      <c r="CA101" s="1562" t="n"/>
      <c r="CB101" s="1562" t="n"/>
      <c r="CC101" s="1562" t="n"/>
      <c r="CD101" s="1562" t="n"/>
      <c r="CE101" s="1562" t="n"/>
      <c r="CF101" s="1562" t="n"/>
      <c r="CG101" s="1562" t="n"/>
      <c r="CH101" s="1562" t="n"/>
      <c r="CI101" s="1562" t="n"/>
      <c r="CJ101" s="1562" t="n"/>
      <c r="CK101" s="1562" t="n"/>
      <c r="CL101" s="1562" t="n"/>
      <c r="CM101" s="1562" t="n"/>
      <c r="CN101" s="1562" t="n"/>
      <c r="CO101" s="1562" t="n"/>
      <c r="CP101" s="1562" t="n"/>
      <c r="CQ101" s="1562" t="n"/>
      <c r="CR101" s="1562" t="n"/>
      <c r="CS101" s="1562" t="n"/>
      <c r="CT101" s="1562" t="n"/>
      <c r="CU101" s="1562" t="n"/>
      <c r="CV101" s="1562" t="n"/>
      <c r="CW101" s="1562" t="n"/>
      <c r="CX101" s="1562" t="n"/>
      <c r="CY101" s="1562" t="n"/>
      <c r="CZ101" s="1562" t="n"/>
      <c r="DA101" s="1562" t="n"/>
      <c r="DB101" s="1562" t="n"/>
      <c r="DC101" s="1562" t="n"/>
      <c r="DD101" s="1562" t="n"/>
      <c r="DE101" s="1562" t="n"/>
      <c r="DF101" s="1562" t="n"/>
      <c r="DG101" s="1562" t="n"/>
      <c r="DH101" s="1562" t="n"/>
      <c r="DI101" s="1562" t="n"/>
      <c r="DJ101" s="1562" t="n"/>
      <c r="DK101" s="1562" t="n"/>
      <c r="DL101" s="1562" t="n"/>
      <c r="DM101" s="1562" t="n"/>
      <c r="DN101" s="1562" t="n"/>
      <c r="DO101" s="1562" t="n"/>
      <c r="DP101" s="1562" t="n"/>
      <c r="DQ101" s="754" t="n"/>
      <c r="DR101" s="754" t="n"/>
      <c r="DS101" s="754" t="n"/>
      <c r="DT101" s="754" t="n"/>
      <c r="DU101" s="754" t="n"/>
      <c r="DV101" s="755" t="n"/>
    </row>
    <row r="102">
      <c r="C102" s="1552" t="n"/>
      <c r="D102" s="1508" t="n"/>
      <c r="E102" s="1508" t="n"/>
      <c r="F102" s="1508" t="n"/>
      <c r="G102" s="1508" t="n"/>
      <c r="H102" s="1508" t="n"/>
      <c r="I102" s="1508" t="n"/>
      <c r="J102" s="1508" t="n"/>
      <c r="K102" s="1508" t="n"/>
      <c r="L102" s="1508" t="n"/>
      <c r="M102" s="1508" t="n"/>
      <c r="N102" s="1508" t="n"/>
      <c r="O102" s="1508" t="n"/>
      <c r="P102" s="1563" t="n"/>
      <c r="Q102" s="1560" t="n"/>
      <c r="R102" s="1560" t="n"/>
      <c r="S102" s="1560" t="n"/>
      <c r="T102" s="1560" t="n"/>
      <c r="U102" s="1560" t="n"/>
      <c r="V102" s="1560" t="n"/>
      <c r="W102" s="1560" t="n"/>
      <c r="X102" s="1560" t="n"/>
      <c r="Y102" s="1560" t="n"/>
      <c r="Z102" s="1560" t="n"/>
      <c r="AA102" s="1560" t="n"/>
      <c r="AB102" s="1560" t="n"/>
      <c r="AC102" s="744" t="n"/>
      <c r="AD102" s="1560" t="n"/>
      <c r="AE102" s="1560" t="n"/>
      <c r="AF102" s="1560" t="n"/>
      <c r="AG102" s="1560" t="n"/>
      <c r="AH102" s="1560" t="n"/>
      <c r="AI102" s="1560" t="n"/>
      <c r="AJ102" s="1560" t="n"/>
      <c r="AK102" s="1560" t="n"/>
      <c r="AL102" s="1560" t="n"/>
      <c r="AM102" s="1560" t="n"/>
      <c r="AN102" s="1560" t="n"/>
      <c r="AO102" s="1560" t="n"/>
      <c r="AP102" s="744" t="n"/>
      <c r="AQ102" s="744" t="n"/>
      <c r="AR102" s="744" t="n"/>
      <c r="AS102" s="744" t="n"/>
      <c r="AT102" s="744" t="n"/>
      <c r="AU102" s="744" t="n"/>
      <c r="AV102" s="744" t="n"/>
      <c r="AW102" s="744" t="n"/>
      <c r="AX102" s="744" t="n"/>
      <c r="AY102" s="744" t="n"/>
      <c r="AZ102" s="744" t="n"/>
      <c r="BA102" s="744" t="n"/>
      <c r="BB102" s="744" t="n"/>
      <c r="BC102" s="744" t="n"/>
      <c r="BD102" s="1560" t="n"/>
      <c r="BE102" s="1560" t="n"/>
      <c r="BF102" s="1560" t="n"/>
      <c r="BG102" s="1560" t="n"/>
      <c r="BH102" s="1560" t="n"/>
      <c r="BI102" s="1560" t="n"/>
      <c r="BJ102" s="1560" t="n"/>
      <c r="BK102" s="1560" t="n"/>
      <c r="BL102" s="1560" t="n"/>
      <c r="BM102" s="1560" t="n"/>
      <c r="BN102" s="1560" t="n"/>
      <c r="BO102" s="1560" t="n"/>
      <c r="BP102" s="1560" t="n"/>
      <c r="BQ102" s="1560" t="n"/>
      <c r="BR102" s="1560" t="n"/>
      <c r="BS102" s="1560" t="n"/>
      <c r="BT102" s="1560" t="n"/>
      <c r="BU102" s="1560" t="n"/>
      <c r="BV102" s="1560" t="n"/>
      <c r="BW102" s="1560" t="n"/>
      <c r="BX102" s="1560" t="n"/>
      <c r="BY102" s="1560" t="n"/>
      <c r="BZ102" s="1560" t="n"/>
      <c r="CA102" s="1560" t="n"/>
      <c r="CB102" s="1560" t="n"/>
      <c r="CC102" s="1560" t="n"/>
      <c r="CD102" s="1560" t="n"/>
      <c r="CE102" s="1560" t="n"/>
      <c r="CF102" s="1560" t="n"/>
      <c r="CG102" s="1560" t="n"/>
      <c r="CH102" s="1560" t="n"/>
      <c r="CI102" s="1560" t="n"/>
      <c r="CJ102" s="1560" t="n"/>
      <c r="CK102" s="1560" t="n"/>
      <c r="CL102" s="1560" t="n"/>
      <c r="CM102" s="1560" t="n"/>
      <c r="CN102" s="1560" t="n"/>
      <c r="CO102" s="1560" t="n"/>
      <c r="CP102" s="1560" t="n"/>
      <c r="CQ102" s="1560" t="n"/>
      <c r="CR102" s="1560" t="n"/>
      <c r="CS102" s="1560" t="n"/>
      <c r="CT102" s="1560" t="n"/>
      <c r="CU102" s="1560" t="n"/>
      <c r="CV102" s="1560" t="n"/>
      <c r="CW102" s="1560" t="n"/>
      <c r="CX102" s="1560" t="n"/>
      <c r="CY102" s="1560" t="n"/>
      <c r="CZ102" s="1560" t="n"/>
      <c r="DA102" s="1560" t="n"/>
      <c r="DB102" s="1560" t="n"/>
      <c r="DC102" s="1560" t="n"/>
      <c r="DD102" s="1560" t="n"/>
      <c r="DE102" s="1560" t="n"/>
      <c r="DF102" s="1560" t="n"/>
      <c r="DG102" s="1560" t="n"/>
      <c r="DH102" s="1560" t="n"/>
      <c r="DI102" s="1560" t="n"/>
      <c r="DJ102" s="1560" t="n"/>
      <c r="DK102" s="1560" t="n"/>
      <c r="DL102" s="1560" t="n"/>
      <c r="DM102" s="1560" t="n"/>
      <c r="DN102" s="1560" t="n"/>
      <c r="DO102" s="1560" t="n"/>
      <c r="DP102" s="1560" t="n"/>
      <c r="DQ102" s="744" t="n"/>
      <c r="DR102" s="744" t="n"/>
      <c r="DS102" s="744" t="n"/>
      <c r="DT102" s="744" t="n"/>
      <c r="DU102" s="744" t="n"/>
      <c r="DV102" s="746" t="n"/>
    </row>
    <row r="103">
      <c r="B103" s="799" t="n"/>
      <c r="C103" s="1552" t="n"/>
      <c r="D103" s="799" t="n"/>
      <c r="E103" s="799" t="n"/>
      <c r="F103" s="799" t="n"/>
      <c r="G103" s="799" t="n"/>
      <c r="H103" s="799" t="n"/>
      <c r="I103" s="799" t="n"/>
      <c r="J103" s="799" t="n"/>
      <c r="K103" s="799" t="n"/>
      <c r="L103" s="799" t="n"/>
      <c r="M103" s="799" t="n"/>
      <c r="N103" s="799" t="n"/>
      <c r="O103" s="799" t="n"/>
      <c r="P103" s="1564" t="n"/>
      <c r="Q103" s="759" t="n"/>
      <c r="R103" s="759" t="n"/>
      <c r="S103" s="759" t="n"/>
      <c r="T103" s="759" t="n"/>
      <c r="U103" s="759" t="n"/>
      <c r="V103" s="759" t="n"/>
      <c r="W103" s="759" t="n"/>
      <c r="X103" s="759" t="n"/>
      <c r="Y103" s="759" t="n"/>
      <c r="Z103" s="759" t="n"/>
      <c r="AA103" s="759" t="n"/>
      <c r="AB103" s="759" t="n"/>
      <c r="AC103" s="750" t="n"/>
      <c r="AD103" s="759" t="n"/>
      <c r="AE103" s="759" t="n"/>
      <c r="AF103" s="759" t="n"/>
      <c r="AG103" s="759" t="n"/>
      <c r="AH103" s="759" t="n"/>
      <c r="AI103" s="759" t="n"/>
      <c r="AJ103" s="759" t="n"/>
      <c r="AK103" s="759" t="n"/>
      <c r="AL103" s="759" t="n"/>
      <c r="AM103" s="759" t="n"/>
      <c r="AN103" s="759" t="n"/>
      <c r="AO103" s="759" t="n"/>
      <c r="AP103" s="750" t="n"/>
      <c r="AQ103" s="750" t="n"/>
      <c r="AR103" s="750" t="n"/>
      <c r="AS103" s="750" t="n"/>
      <c r="AT103" s="750" t="n"/>
      <c r="AU103" s="750" t="n"/>
      <c r="AV103" s="750" t="n"/>
      <c r="AW103" s="750" t="n"/>
      <c r="AX103" s="750" t="n"/>
      <c r="AY103" s="750" t="n"/>
      <c r="AZ103" s="750" t="n"/>
      <c r="BA103" s="750" t="n"/>
      <c r="BB103" s="750" t="n"/>
      <c r="BC103" s="750" t="n"/>
      <c r="BD103" s="759" t="n"/>
      <c r="BE103" s="759" t="n"/>
      <c r="BF103" s="759" t="n"/>
      <c r="BG103" s="759" t="n"/>
      <c r="BH103" s="759" t="n"/>
      <c r="BI103" s="759" t="n"/>
      <c r="BJ103" s="759" t="n"/>
      <c r="BK103" s="759" t="n"/>
      <c r="BL103" s="759" t="n"/>
      <c r="BM103" s="759" t="n"/>
      <c r="BN103" s="759" t="n"/>
      <c r="BO103" s="759" t="n"/>
      <c r="BP103" s="759" t="n"/>
      <c r="BQ103" s="759" t="n"/>
      <c r="BR103" s="759" t="n"/>
      <c r="BS103" s="759" t="n"/>
      <c r="BT103" s="759" t="n"/>
      <c r="BU103" s="759" t="n"/>
      <c r="BV103" s="759" t="n"/>
      <c r="BW103" s="759" t="n"/>
      <c r="BX103" s="759" t="n"/>
      <c r="BY103" s="759" t="n"/>
      <c r="BZ103" s="759" t="n"/>
      <c r="CA103" s="759" t="n"/>
      <c r="CB103" s="759" t="n"/>
      <c r="CC103" s="759" t="n"/>
      <c r="CD103" s="759" t="n"/>
      <c r="CE103" s="759" t="n"/>
      <c r="CF103" s="759" t="n"/>
      <c r="CG103" s="759" t="n"/>
      <c r="CH103" s="759" t="n"/>
      <c r="CI103" s="759" t="n"/>
      <c r="CJ103" s="759" t="n"/>
      <c r="CK103" s="759" t="n"/>
      <c r="CL103" s="759" t="n"/>
      <c r="CM103" s="759" t="n"/>
      <c r="CN103" s="759" t="n"/>
      <c r="CO103" s="759" t="n"/>
      <c r="CP103" s="759" t="n"/>
      <c r="CQ103" s="759" t="n"/>
      <c r="CR103" s="759" t="n"/>
      <c r="CS103" s="759" t="n"/>
      <c r="CT103" s="759" t="n"/>
      <c r="CU103" s="759" t="n"/>
      <c r="CV103" s="759" t="n"/>
      <c r="CW103" s="759" t="n"/>
      <c r="CX103" s="759" t="n"/>
      <c r="CY103" s="759" t="n"/>
      <c r="CZ103" s="759" t="n"/>
      <c r="DA103" s="759" t="n"/>
      <c r="DB103" s="759" t="n"/>
      <c r="DC103" s="759" t="n"/>
      <c r="DD103" s="759" t="n"/>
      <c r="DE103" s="759" t="n"/>
      <c r="DF103" s="759" t="n"/>
      <c r="DG103" s="759" t="n"/>
      <c r="DH103" s="759" t="n"/>
      <c r="DI103" s="759" t="n"/>
      <c r="DJ103" s="759" t="n"/>
      <c r="DK103" s="759" t="n"/>
      <c r="DL103" s="759" t="n"/>
      <c r="DM103" s="759" t="n"/>
      <c r="DN103" s="759" t="n"/>
      <c r="DO103" s="759" t="n"/>
      <c r="DP103" s="759" t="n"/>
      <c r="DQ103" s="750" t="n"/>
      <c r="DR103" s="750" t="n"/>
      <c r="DS103" s="750" t="n"/>
      <c r="DT103" s="750" t="n"/>
      <c r="DU103" s="750" t="n"/>
      <c r="DV103" s="751" t="n"/>
    </row>
    <row r="104" ht="15.75" customHeight="1" thickBot="1">
      <c r="C104" s="1552" t="n"/>
      <c r="D104" s="1508" t="n"/>
      <c r="E104" s="1508" t="n"/>
      <c r="F104" s="1508" t="n"/>
      <c r="G104" s="1508" t="n"/>
      <c r="H104" s="1508" t="n"/>
      <c r="I104" s="1508" t="n"/>
      <c r="J104" s="1508" t="n"/>
      <c r="K104" s="1508" t="n"/>
      <c r="L104" s="1508" t="n"/>
      <c r="M104" s="1508" t="n"/>
      <c r="N104" s="1508" t="n"/>
      <c r="O104" s="1508" t="n"/>
      <c r="P104" s="1565" t="n"/>
      <c r="Q104" s="1562" t="n"/>
      <c r="R104" s="1562" t="n"/>
      <c r="S104" s="1562" t="n"/>
      <c r="T104" s="1562" t="n"/>
      <c r="U104" s="1562" t="n"/>
      <c r="V104" s="1562" t="n"/>
      <c r="W104" s="1562" t="n"/>
      <c r="X104" s="1562" t="n"/>
      <c r="Y104" s="1562" t="n"/>
      <c r="Z104" s="1562" t="n"/>
      <c r="AA104" s="1562" t="n"/>
      <c r="AB104" s="1562" t="n"/>
      <c r="AC104" s="754" t="n"/>
      <c r="AD104" s="1562" t="n"/>
      <c r="AE104" s="1562" t="n"/>
      <c r="AF104" s="1562" t="n"/>
      <c r="AG104" s="1562" t="n"/>
      <c r="AH104" s="1562" t="n"/>
      <c r="AI104" s="1562" t="n"/>
      <c r="AJ104" s="1562" t="n"/>
      <c r="AK104" s="1562" t="n"/>
      <c r="AL104" s="1562" t="n"/>
      <c r="AM104" s="1562" t="n"/>
      <c r="AN104" s="1562" t="n"/>
      <c r="AO104" s="1562" t="n"/>
      <c r="AP104" s="1566" t="n"/>
      <c r="AQ104" s="754" t="n"/>
      <c r="AR104" s="754" t="n"/>
      <c r="AS104" s="754" t="n"/>
      <c r="AT104" s="754" t="n"/>
      <c r="AU104" s="754" t="n"/>
      <c r="AV104" s="754" t="n"/>
      <c r="AW104" s="754" t="n"/>
      <c r="AX104" s="754" t="n"/>
      <c r="AY104" s="754" t="n"/>
      <c r="AZ104" s="754" t="n"/>
      <c r="BA104" s="754" t="n"/>
      <c r="BB104" s="754" t="n"/>
      <c r="BC104" s="754" t="n"/>
      <c r="BD104" s="1562" t="n"/>
      <c r="BE104" s="1562" t="n"/>
      <c r="BF104" s="1562" t="n"/>
      <c r="BG104" s="1562" t="n"/>
      <c r="BH104" s="1562" t="n"/>
      <c r="BI104" s="1562" t="n"/>
      <c r="BJ104" s="1562" t="n"/>
      <c r="BK104" s="1562" t="n"/>
      <c r="BL104" s="1562" t="n"/>
      <c r="BM104" s="1562" t="n"/>
      <c r="BN104" s="1562" t="n"/>
      <c r="BO104" s="1562" t="n"/>
      <c r="BP104" s="1562" t="n"/>
      <c r="BQ104" s="1562" t="n"/>
      <c r="BR104" s="1562" t="n"/>
      <c r="BS104" s="1562" t="n"/>
      <c r="BT104" s="1562" t="n"/>
      <c r="BU104" s="1562" t="n"/>
      <c r="BV104" s="1562" t="n"/>
      <c r="BW104" s="1562" t="n"/>
      <c r="BX104" s="1562" t="n"/>
      <c r="BY104" s="1562" t="n"/>
      <c r="BZ104" s="1562" t="n"/>
      <c r="CA104" s="1562" t="n"/>
      <c r="CB104" s="1562" t="n"/>
      <c r="CC104" s="1562" t="n"/>
      <c r="CD104" s="1562" t="n"/>
      <c r="CE104" s="1562" t="n"/>
      <c r="CF104" s="1562" t="n"/>
      <c r="CG104" s="1562" t="n"/>
      <c r="CH104" s="1562" t="n"/>
      <c r="CI104" s="1562" t="n"/>
      <c r="CJ104" s="1562" t="n"/>
      <c r="CK104" s="1562" t="n"/>
      <c r="CL104" s="1562" t="n"/>
      <c r="CM104" s="1562" t="n"/>
      <c r="CN104" s="1562" t="n"/>
      <c r="CO104" s="1562" t="n"/>
      <c r="CP104" s="1562" t="n"/>
      <c r="CQ104" s="1562" t="n"/>
      <c r="CR104" s="1562" t="n"/>
      <c r="CS104" s="1562" t="n"/>
      <c r="CT104" s="1562" t="n"/>
      <c r="CU104" s="1562" t="n"/>
      <c r="CV104" s="1562" t="n"/>
      <c r="CW104" s="1562" t="n"/>
      <c r="CX104" s="1562" t="n"/>
      <c r="CY104" s="1562" t="n"/>
      <c r="CZ104" s="1562" t="n"/>
      <c r="DA104" s="1562" t="n"/>
      <c r="DB104" s="1562" t="n"/>
      <c r="DC104" s="1562" t="n"/>
      <c r="DD104" s="1562" t="n"/>
      <c r="DE104" s="1562" t="n"/>
      <c r="DF104" s="1562" t="n"/>
      <c r="DG104" s="1562" t="n"/>
      <c r="DH104" s="1562" t="n"/>
      <c r="DI104" s="1562" t="n"/>
      <c r="DJ104" s="1562" t="n"/>
      <c r="DK104" s="1562" t="n"/>
      <c r="DL104" s="1562" t="n"/>
      <c r="DM104" s="1562" t="n"/>
      <c r="DN104" s="1562" t="n"/>
      <c r="DO104" s="1562" t="n"/>
      <c r="DP104" s="1562" t="n"/>
      <c r="DQ104" s="754" t="n"/>
      <c r="DR104" s="754" t="n"/>
      <c r="DS104" s="754" t="n"/>
      <c r="DT104" s="754" t="n"/>
      <c r="DU104" s="754" t="n"/>
      <c r="DV104" s="755" t="n"/>
    </row>
    <row r="105">
      <c r="D105" s="1508" t="n"/>
      <c r="E105" s="1508" t="n"/>
      <c r="F105" s="1508" t="n"/>
      <c r="G105" s="1508" t="n"/>
      <c r="H105" s="1508" t="n"/>
      <c r="I105" s="1508" t="n"/>
      <c r="J105" s="1508" t="n"/>
      <c r="K105" s="1508" t="n"/>
      <c r="L105" s="1508" t="n"/>
      <c r="M105" s="1508" t="n"/>
      <c r="N105" s="1508" t="n"/>
      <c r="O105" s="1508" t="n"/>
      <c r="P105" s="1567" t="n"/>
      <c r="Q105" s="1531" t="n"/>
      <c r="R105" s="1531" t="n"/>
      <c r="S105" s="1531" t="n"/>
      <c r="T105" s="1531" t="n"/>
      <c r="U105" s="1531" t="n"/>
      <c r="V105" s="1531" t="n"/>
      <c r="W105" s="1531" t="n"/>
      <c r="X105" s="1531" t="n"/>
      <c r="Y105" s="1531" t="n"/>
      <c r="Z105" s="1531" t="n"/>
      <c r="AA105" s="1531" t="n"/>
      <c r="AB105" s="1531" t="n"/>
      <c r="AC105" s="1531" t="n"/>
      <c r="AD105" s="1531" t="n"/>
      <c r="AE105" s="1531" t="n"/>
      <c r="AF105" s="1531" t="n"/>
      <c r="AG105" s="1531" t="n"/>
      <c r="AH105" s="1531" t="n"/>
      <c r="AI105" s="1531" t="n"/>
      <c r="AJ105" s="1531" t="n"/>
      <c r="AK105" s="1531" t="n"/>
      <c r="AL105" s="1531" t="n"/>
      <c r="AM105" s="1531" t="n"/>
      <c r="AN105" s="1531" t="n"/>
      <c r="AO105" s="1531" t="n"/>
      <c r="AP105" s="750" t="n"/>
      <c r="AQ105" s="750" t="n"/>
      <c r="AR105" s="750" t="n"/>
      <c r="AS105" s="750" t="n"/>
      <c r="AT105" s="750" t="n"/>
      <c r="AU105" s="750" t="n"/>
      <c r="AV105" s="750" t="n"/>
      <c r="AW105" s="750" t="n"/>
      <c r="AX105" s="750" t="n"/>
      <c r="AY105" s="750" t="n"/>
      <c r="AZ105" s="750" t="n"/>
      <c r="BA105" s="750" t="n"/>
      <c r="BB105" s="750" t="n"/>
      <c r="BC105" s="750" t="n"/>
      <c r="BD105" s="1531" t="n"/>
      <c r="BE105" s="1531" t="n"/>
      <c r="BF105" s="1531" t="n"/>
      <c r="BG105" s="1531" t="n"/>
      <c r="BH105" s="1531" t="n"/>
      <c r="BI105" s="1531" t="n"/>
      <c r="BJ105" s="1531" t="n"/>
      <c r="BK105" s="1531" t="n"/>
      <c r="BL105" s="1531" t="n"/>
      <c r="BM105" s="1531" t="n"/>
      <c r="BN105" s="1531" t="n"/>
      <c r="BO105" s="1531" t="n"/>
      <c r="BP105" s="1531" t="n"/>
      <c r="BQ105" s="1531" t="n"/>
      <c r="BR105" s="1531" t="n"/>
      <c r="BS105" s="1531" t="n"/>
      <c r="BT105" s="1531" t="n"/>
      <c r="BU105" s="1531" t="n"/>
      <c r="BV105" s="1531" t="n"/>
      <c r="BW105" s="1531" t="n"/>
      <c r="BX105" s="1531" t="n"/>
      <c r="BY105" s="1531" t="n"/>
      <c r="BZ105" s="1531" t="n"/>
      <c r="CA105" s="1531" t="n"/>
      <c r="CB105" s="1531" t="n"/>
      <c r="CC105" s="1531" t="n"/>
      <c r="CD105" s="1531" t="n"/>
      <c r="CE105" s="1531" t="n"/>
      <c r="CF105" s="1531" t="n"/>
      <c r="CG105" s="1531" t="n"/>
      <c r="CH105" s="1531" t="n"/>
      <c r="CI105" s="1531" t="n"/>
      <c r="CJ105" s="1531" t="n"/>
      <c r="CK105" s="1531" t="n"/>
      <c r="CL105" s="1531" t="n"/>
      <c r="CM105" s="1531" t="n"/>
      <c r="CN105" s="1531" t="n"/>
      <c r="CO105" s="1531" t="n"/>
      <c r="CP105" s="1531" t="n"/>
      <c r="CQ105" s="1531" t="n"/>
      <c r="CR105" s="1531" t="n"/>
      <c r="CS105" s="1531" t="n"/>
      <c r="CT105" s="1531" t="n"/>
      <c r="CU105" s="1531" t="n"/>
      <c r="CV105" s="1531" t="n"/>
      <c r="CW105" s="1531" t="n"/>
      <c r="CX105" s="1531" t="n"/>
      <c r="CY105" s="1531" t="n"/>
      <c r="CZ105" s="1531" t="n"/>
      <c r="DA105" s="1531" t="n"/>
      <c r="DB105" s="1531" t="n"/>
      <c r="DC105" s="1531" t="n"/>
      <c r="DD105" s="1531" t="n"/>
      <c r="DE105" s="1531" t="n"/>
      <c r="DF105" s="1531" t="n"/>
      <c r="DG105" s="1531" t="n"/>
      <c r="DH105" s="1531" t="n"/>
      <c r="DI105" s="1531" t="n"/>
      <c r="DJ105" s="1531" t="n"/>
      <c r="DK105" s="1531" t="n"/>
      <c r="DL105" s="1531" t="n"/>
      <c r="DM105" s="1531" t="n"/>
      <c r="DN105" s="1531" t="n"/>
      <c r="DO105" s="1531" t="n"/>
      <c r="DP105" s="1531" t="n"/>
      <c r="DQ105" s="750" t="n"/>
      <c r="DR105" s="750" t="n"/>
      <c r="DS105" s="750" t="n"/>
      <c r="DT105" s="750" t="n"/>
      <c r="DU105" s="750" t="n"/>
      <c r="DV105" s="751" t="n"/>
    </row>
    <row r="106" ht="15.75" customHeight="1" thickBot="1">
      <c r="C106" s="1552" t="n"/>
      <c r="D106" s="799" t="n"/>
      <c r="E106" s="799" t="n"/>
      <c r="F106" s="799" t="n"/>
      <c r="G106" s="799" t="n"/>
      <c r="H106" s="799" t="n"/>
      <c r="I106" s="799" t="n"/>
      <c r="J106" s="799" t="n"/>
      <c r="K106" s="799" t="n"/>
      <c r="L106" s="799" t="n"/>
      <c r="M106" s="799" t="n"/>
      <c r="N106" s="799" t="n"/>
      <c r="O106" s="799" t="n"/>
      <c r="P106" s="1565" t="n"/>
      <c r="Q106" s="765" t="n"/>
      <c r="R106" s="765" t="n"/>
      <c r="S106" s="765" t="n"/>
      <c r="T106" s="765" t="n"/>
      <c r="U106" s="765" t="n"/>
      <c r="V106" s="765" t="n"/>
      <c r="W106" s="765" t="n"/>
      <c r="X106" s="765" t="n"/>
      <c r="Y106" s="765" t="n"/>
      <c r="Z106" s="765" t="n"/>
      <c r="AA106" s="765" t="n"/>
      <c r="AB106" s="765" t="n"/>
      <c r="AC106" s="1568" t="n"/>
      <c r="AD106" s="765" t="n"/>
      <c r="AE106" s="765" t="n"/>
      <c r="AF106" s="765" t="n"/>
      <c r="AG106" s="765" t="n"/>
      <c r="AH106" s="765" t="n"/>
      <c r="AI106" s="765" t="n"/>
      <c r="AJ106" s="765" t="n"/>
      <c r="AK106" s="765" t="n"/>
      <c r="AL106" s="765" t="n"/>
      <c r="AM106" s="765" t="n"/>
      <c r="AN106" s="765" t="n"/>
      <c r="AO106" s="765" t="n"/>
      <c r="AP106" s="754" t="n"/>
      <c r="AQ106" s="754" t="n"/>
      <c r="AR106" s="754" t="n"/>
      <c r="AS106" s="754" t="n"/>
      <c r="AT106" s="754" t="n"/>
      <c r="AU106" s="754" t="n"/>
      <c r="AV106" s="754" t="n"/>
      <c r="AW106" s="754" t="n"/>
      <c r="AX106" s="754" t="n"/>
      <c r="AY106" s="754" t="n"/>
      <c r="AZ106" s="754" t="n"/>
      <c r="BA106" s="754" t="n"/>
      <c r="BB106" s="754" t="n"/>
      <c r="BC106" s="754" t="n"/>
      <c r="BD106" s="765" t="n"/>
      <c r="BE106" s="765" t="n"/>
      <c r="BF106" s="765" t="n"/>
      <c r="BG106" s="765" t="n"/>
      <c r="BH106" s="765" t="n"/>
      <c r="BI106" s="765" t="n"/>
      <c r="BJ106" s="765" t="n"/>
      <c r="BK106" s="765" t="n"/>
      <c r="BL106" s="765" t="n"/>
      <c r="BM106" s="765" t="n"/>
      <c r="BN106" s="765" t="n"/>
      <c r="BO106" s="765" t="n"/>
      <c r="BP106" s="765" t="n"/>
      <c r="BQ106" s="765" t="n"/>
      <c r="BR106" s="765" t="n"/>
      <c r="BS106" s="765" t="n"/>
      <c r="BT106" s="765" t="n"/>
      <c r="BU106" s="765" t="n"/>
      <c r="BV106" s="765" t="n"/>
      <c r="BW106" s="765" t="n"/>
      <c r="BX106" s="765" t="n"/>
      <c r="BY106" s="765" t="n"/>
      <c r="BZ106" s="765" t="n"/>
      <c r="CA106" s="765" t="n"/>
      <c r="CB106" s="765" t="n"/>
      <c r="CC106" s="765" t="n"/>
      <c r="CD106" s="765" t="n"/>
      <c r="CE106" s="765" t="n"/>
      <c r="CF106" s="765" t="n"/>
      <c r="CG106" s="765" t="n"/>
      <c r="CH106" s="765" t="n"/>
      <c r="CI106" s="765" t="n"/>
      <c r="CJ106" s="765" t="n"/>
      <c r="CK106" s="765" t="n"/>
      <c r="CL106" s="765" t="n"/>
      <c r="CM106" s="765" t="n"/>
      <c r="CN106" s="765" t="n"/>
      <c r="CO106" s="765" t="n"/>
      <c r="CP106" s="765" t="n"/>
      <c r="CQ106" s="765" t="n"/>
      <c r="CR106" s="765" t="n"/>
      <c r="CS106" s="765" t="n"/>
      <c r="CT106" s="765" t="n"/>
      <c r="CU106" s="765" t="n"/>
      <c r="CV106" s="765" t="n"/>
      <c r="CW106" s="765" t="n"/>
      <c r="CX106" s="765" t="n"/>
      <c r="CY106" s="765" t="n"/>
      <c r="CZ106" s="765" t="n"/>
      <c r="DA106" s="765" t="n"/>
      <c r="DB106" s="765" t="n"/>
      <c r="DC106" s="765" t="n"/>
      <c r="DD106" s="765" t="n"/>
      <c r="DE106" s="765" t="n"/>
      <c r="DF106" s="765" t="n"/>
      <c r="DG106" s="765" t="n"/>
      <c r="DH106" s="765" t="n"/>
      <c r="DI106" s="765" t="n"/>
      <c r="DJ106" s="765" t="n"/>
      <c r="DK106" s="765" t="n"/>
      <c r="DL106" s="765" t="n"/>
      <c r="DM106" s="765" t="n"/>
      <c r="DN106" s="765" t="n"/>
      <c r="DO106" s="765" t="n"/>
      <c r="DP106" s="765" t="n"/>
      <c r="DQ106" s="754" t="n"/>
      <c r="DR106" s="754" t="n"/>
      <c r="DS106" s="754" t="n"/>
      <c r="DT106" s="754" t="n"/>
      <c r="DU106" s="754" t="n"/>
      <c r="DV106" s="755" t="n"/>
    </row>
    <row r="107"/>
    <row r="108">
      <c r="C108" s="1569" t="n"/>
      <c r="D108" s="1508" t="n"/>
      <c r="E108" s="1508" t="n"/>
      <c r="F108" s="1508" t="n"/>
      <c r="G108" s="1508" t="n"/>
      <c r="H108" s="1508" t="n"/>
      <c r="I108" s="1508" t="n"/>
      <c r="J108" s="1508" t="n"/>
      <c r="K108" s="1508" t="n"/>
      <c r="L108" s="1508" t="n"/>
      <c r="M108" s="1508" t="n"/>
      <c r="N108" s="1508" t="n"/>
      <c r="O108" s="1508" t="n"/>
      <c r="P108" s="1508" t="n"/>
      <c r="Q108" s="1508" t="n"/>
      <c r="R108" s="1508" t="n"/>
      <c r="S108" s="1508" t="n"/>
      <c r="T108" s="1508" t="n"/>
      <c r="U108" s="1508" t="n"/>
      <c r="V108" s="1508" t="n"/>
      <c r="W108" s="1508" t="n"/>
      <c r="X108" s="1508" t="n"/>
      <c r="Y108" s="1508" t="n"/>
      <c r="Z108" s="1508" t="n"/>
      <c r="AA108" s="1508" t="n"/>
      <c r="AB108" s="1508" t="n"/>
      <c r="AC108" s="1508" t="n"/>
      <c r="AD108" s="1508" t="n"/>
      <c r="AE108" s="1508" t="n"/>
      <c r="AF108" s="1508" t="n"/>
      <c r="AG108" s="1508" t="n"/>
      <c r="AH108" s="1508" t="n"/>
      <c r="AI108" s="1508" t="n"/>
      <c r="AJ108" s="1508" t="n"/>
      <c r="AK108" s="1508" t="n"/>
      <c r="AL108" s="1508" t="n"/>
      <c r="AM108" s="1508" t="n"/>
      <c r="AN108" s="1508" t="n"/>
      <c r="AO108" s="1508" t="n"/>
      <c r="AP108" s="1508" t="n"/>
      <c r="AQ108" s="1508" t="n"/>
      <c r="AR108" s="1508" t="n"/>
      <c r="AS108" s="1508" t="n"/>
      <c r="AT108" s="1508" t="n"/>
      <c r="AU108" s="1508" t="n"/>
      <c r="AV108" s="1508" t="n"/>
      <c r="AW108" s="1508" t="n"/>
      <c r="AX108" s="1508" t="n"/>
      <c r="AY108" s="1508" t="n"/>
      <c r="AZ108" s="1508" t="n"/>
      <c r="BA108" s="1508" t="n"/>
      <c r="BB108" s="1508" t="n"/>
      <c r="BC108" s="1508" t="n"/>
      <c r="BD108" s="1508" t="n"/>
      <c r="BE108" s="1508" t="n"/>
      <c r="BF108" s="1508" t="n"/>
      <c r="BG108" s="1508" t="n"/>
      <c r="BH108" s="1508" t="n"/>
      <c r="BI108" s="1508" t="n"/>
      <c r="BJ108" s="1508" t="n"/>
      <c r="BK108" s="1508" t="n"/>
      <c r="BL108" s="1508" t="n"/>
      <c r="BM108" s="1508" t="n"/>
      <c r="BN108" s="1508" t="n"/>
      <c r="BO108" s="1508" t="n"/>
      <c r="BP108" s="1508" t="n"/>
      <c r="BQ108" s="1508" t="n"/>
      <c r="BR108" s="1508" t="n"/>
      <c r="BS108" s="1508" t="n"/>
      <c r="BT108" s="1508" t="n"/>
      <c r="BU108" s="1508" t="n"/>
      <c r="BV108" s="1508" t="n"/>
      <c r="BW108" s="1508" t="n"/>
      <c r="BX108" s="1508" t="n"/>
      <c r="BY108" s="1508" t="n"/>
      <c r="BZ108" s="1508" t="n"/>
      <c r="CA108" s="1508" t="n"/>
      <c r="CB108" s="1508" t="n"/>
      <c r="CC108" s="1508" t="n"/>
      <c r="CD108" s="1508" t="n"/>
      <c r="CE108" s="1508" t="n"/>
      <c r="CF108" s="1508" t="n"/>
      <c r="CG108" s="1508" t="n"/>
      <c r="CH108" s="1508" t="n"/>
      <c r="CI108" s="1508" t="n"/>
      <c r="CJ108" s="1508" t="n"/>
      <c r="CK108" s="1508" t="n"/>
      <c r="CL108" s="1508" t="n"/>
      <c r="CM108" s="1508" t="n"/>
      <c r="CN108" s="1508" t="n"/>
      <c r="CO108" s="1508" t="n"/>
      <c r="CP108" s="1508" t="n"/>
      <c r="CQ108" s="1508" t="n"/>
      <c r="CR108" s="1508" t="n"/>
      <c r="CS108" s="1508" t="n"/>
      <c r="CT108" s="1508" t="n"/>
      <c r="CU108" s="1508" t="n"/>
      <c r="CV108" s="1508" t="n"/>
      <c r="CW108" s="1508" t="n"/>
      <c r="CX108" s="1508" t="n"/>
      <c r="CY108" s="1508" t="n"/>
      <c r="CZ108" s="1508" t="n"/>
      <c r="DA108" s="1508" t="n"/>
      <c r="DB108" s="1508" t="n"/>
      <c r="DC108" s="1508" t="n"/>
      <c r="DD108" s="1508" t="n"/>
      <c r="DE108" s="1508" t="n"/>
      <c r="DF108" s="1508" t="n"/>
      <c r="DG108" s="1508" t="n"/>
      <c r="DH108" s="1508" t="n"/>
      <c r="DI108" s="1508" t="n"/>
      <c r="DJ108" s="1508" t="n"/>
      <c r="DK108" s="1508" t="n"/>
      <c r="DL108" s="1508" t="n"/>
      <c r="DM108" s="1508" t="n"/>
      <c r="DN108" s="1508" t="n"/>
      <c r="DO108" s="1508" t="n"/>
      <c r="DP108" s="1508" t="n"/>
    </row>
    <row r="109">
      <c r="D109" s="799" t="n"/>
      <c r="E109" s="799" t="n"/>
      <c r="F109" s="799" t="n"/>
      <c r="G109" s="799" t="n"/>
      <c r="H109" s="799" t="n"/>
      <c r="I109" s="799" t="n"/>
      <c r="J109" s="799" t="n"/>
      <c r="K109" s="799" t="n"/>
      <c r="L109" s="799" t="n"/>
      <c r="M109" s="799" t="n"/>
      <c r="N109" s="799" t="n"/>
      <c r="O109" s="799" t="n"/>
      <c r="P109" s="1552" t="n"/>
      <c r="Q109" s="799" t="n"/>
      <c r="R109" s="799" t="n"/>
      <c r="S109" s="799" t="n"/>
      <c r="T109" s="799" t="n"/>
      <c r="U109" s="799" t="n"/>
      <c r="V109" s="799" t="n"/>
      <c r="W109" s="799" t="n"/>
      <c r="X109" s="799" t="n"/>
      <c r="Y109" s="799" t="n"/>
      <c r="Z109" s="799" t="n"/>
      <c r="AA109" s="799" t="n"/>
      <c r="AB109" s="799" t="n"/>
      <c r="AC109" s="799" t="n"/>
      <c r="AD109" s="799" t="n"/>
      <c r="AE109" s="799" t="n"/>
      <c r="AF109" s="799" t="n"/>
      <c r="AG109" s="799" t="n"/>
      <c r="AH109" s="799" t="n"/>
      <c r="AI109" s="799" t="n"/>
      <c r="AJ109" s="799" t="n"/>
      <c r="AK109" s="799" t="n"/>
      <c r="AL109" s="799" t="n"/>
      <c r="AM109" s="799" t="n"/>
      <c r="AN109" s="799" t="n"/>
      <c r="AO109" s="799" t="n"/>
      <c r="AP109" s="799" t="n"/>
      <c r="AQ109" s="799" t="n"/>
      <c r="AR109" s="799" t="n"/>
      <c r="AS109" s="799" t="n"/>
      <c r="AT109" s="799" t="n"/>
      <c r="AU109" s="799" t="n"/>
      <c r="AV109" s="799" t="n"/>
      <c r="AW109" s="799" t="n"/>
      <c r="AX109" s="799" t="n"/>
      <c r="AY109" s="799" t="n"/>
      <c r="AZ109" s="799" t="n"/>
      <c r="BA109" s="799" t="n"/>
      <c r="BB109" s="799" t="n"/>
      <c r="BC109" s="799" t="n"/>
      <c r="BD109" s="799" t="n"/>
      <c r="BE109" s="799" t="n"/>
      <c r="BF109" s="799" t="n"/>
      <c r="BG109" s="799" t="n"/>
      <c r="BH109" s="799" t="n"/>
      <c r="BI109" s="799" t="n"/>
      <c r="BJ109" s="799" t="n"/>
      <c r="BK109" s="799" t="n"/>
      <c r="BL109" s="799" t="n"/>
      <c r="BM109" s="799" t="n"/>
      <c r="BN109" s="799" t="n"/>
      <c r="BO109" s="799" t="n"/>
      <c r="BP109" s="799" t="n"/>
      <c r="BQ109" s="799" t="n"/>
      <c r="BR109" s="799" t="n"/>
      <c r="BS109" s="799" t="n"/>
      <c r="BT109" s="799" t="n"/>
      <c r="BU109" s="799" t="n"/>
      <c r="BV109" s="799" t="n"/>
      <c r="BW109" s="799" t="n"/>
      <c r="BX109" s="799" t="n"/>
      <c r="BY109" s="799" t="n"/>
      <c r="BZ109" s="799" t="n"/>
      <c r="CA109" s="799" t="n"/>
      <c r="CB109" s="799" t="n"/>
      <c r="CC109" s="799" t="n"/>
      <c r="CD109" s="799" t="n"/>
      <c r="CE109" s="799" t="n"/>
      <c r="CF109" s="799" t="n"/>
      <c r="CG109" s="799" t="n"/>
      <c r="CH109" s="799" t="n"/>
      <c r="CI109" s="799" t="n"/>
      <c r="CJ109" s="799" t="n"/>
      <c r="CK109" s="799" t="n"/>
      <c r="CL109" s="799" t="n"/>
      <c r="CM109" s="799" t="n"/>
      <c r="CN109" s="799" t="n"/>
      <c r="CO109" s="799" t="n"/>
      <c r="CP109" s="799" t="n"/>
      <c r="CQ109" s="799" t="n"/>
      <c r="CR109" s="799" t="n"/>
      <c r="CS109" s="799" t="n"/>
      <c r="CT109" s="799" t="n"/>
      <c r="CU109" s="799" t="n"/>
      <c r="CV109" s="799" t="n"/>
      <c r="CW109" s="799" t="n"/>
      <c r="CX109" s="799" t="n"/>
      <c r="CY109" s="799" t="n"/>
      <c r="CZ109" s="799" t="n"/>
      <c r="DA109" s="799" t="n"/>
      <c r="DB109" s="799" t="n"/>
      <c r="DC109" s="799" t="n"/>
      <c r="DD109" s="799" t="n"/>
      <c r="DE109" s="799" t="n"/>
      <c r="DF109" s="799" t="n"/>
      <c r="DG109" s="799" t="n"/>
      <c r="DH109" s="799" t="n"/>
      <c r="DI109" s="799" t="n"/>
      <c r="DJ109" s="799" t="n"/>
      <c r="DK109" s="799" t="n"/>
      <c r="DL109" s="799" t="n"/>
      <c r="DM109" s="799" t="n"/>
      <c r="DN109" s="799" t="n"/>
      <c r="DO109" s="799" t="n"/>
      <c r="DP109" s="799" t="n"/>
    </row>
    <row r="110">
      <c r="C110" s="1552" t="n"/>
    </row>
    <row r="111"/>
    <row r="112">
      <c r="B112" s="768" t="n"/>
      <c r="C112" s="768" t="n"/>
    </row>
    <row r="113">
      <c r="D113" s="1508" t="n"/>
      <c r="E113" s="1508" t="n"/>
      <c r="F113" s="1508" t="n"/>
      <c r="G113" s="1508" t="n"/>
      <c r="H113" s="1508" t="n"/>
      <c r="I113" s="1508" t="n"/>
      <c r="J113" s="1508" t="n"/>
      <c r="K113" s="1508" t="n"/>
      <c r="L113" s="1508" t="n"/>
      <c r="M113" s="1508" t="n"/>
      <c r="N113" s="1508" t="n"/>
      <c r="O113" s="1508" t="n"/>
      <c r="P113" s="1508" t="n"/>
      <c r="Q113" s="1508" t="n"/>
      <c r="R113" s="1508" t="n"/>
      <c r="S113" s="1508" t="n"/>
      <c r="T113" s="1508" t="n"/>
      <c r="U113" s="1508" t="n"/>
      <c r="V113" s="1508" t="n"/>
      <c r="W113" s="1508" t="n"/>
      <c r="X113" s="1508" t="n"/>
      <c r="Y113" s="1508" t="n"/>
      <c r="Z113" s="1508" t="n"/>
      <c r="AA113" s="1508" t="n"/>
      <c r="AB113" s="1508" t="n"/>
      <c r="AC113" s="1508" t="n"/>
      <c r="AD113" s="1508" t="n"/>
      <c r="AE113" s="1508" t="n"/>
      <c r="AF113" s="1508" t="n"/>
      <c r="AG113" s="1508" t="n"/>
      <c r="AH113" s="1508" t="n"/>
      <c r="AI113" s="1508" t="n"/>
      <c r="AJ113" s="1508" t="n"/>
      <c r="AK113" s="1508" t="n"/>
      <c r="AL113" s="1508" t="n"/>
      <c r="AM113" s="1508" t="n"/>
      <c r="AN113" s="1508" t="n"/>
      <c r="AO113" s="1508" t="n"/>
      <c r="AP113" s="1508" t="n"/>
      <c r="AQ113" s="1508" t="n"/>
      <c r="AR113" s="1508" t="n"/>
      <c r="AS113" s="1508" t="n"/>
      <c r="AT113" s="1508" t="n"/>
      <c r="AU113" s="1508" t="n"/>
      <c r="AV113" s="1508" t="n"/>
      <c r="AW113" s="1508" t="n"/>
      <c r="AX113" s="1508" t="n"/>
      <c r="AY113" s="1508" t="n"/>
      <c r="AZ113" s="1508" t="n"/>
      <c r="BA113" s="1508" t="n"/>
      <c r="BB113" s="1508" t="n"/>
      <c r="BC113" s="1508" t="n"/>
      <c r="BD113" s="1508" t="n"/>
      <c r="BE113" s="1508" t="n"/>
      <c r="BF113" s="1508" t="n"/>
      <c r="BG113" s="1508" t="n"/>
      <c r="BH113" s="1508" t="n"/>
      <c r="BI113" s="1508" t="n"/>
      <c r="BJ113" s="1508" t="n"/>
      <c r="BK113" s="1508" t="n"/>
      <c r="BL113" s="1508" t="n"/>
      <c r="BM113" s="1508" t="n"/>
      <c r="BN113" s="1508" t="n"/>
      <c r="BO113" s="1508" t="n"/>
      <c r="BP113" s="1508" t="n"/>
      <c r="BQ113" s="1508" t="n"/>
      <c r="BR113" s="1508" t="n"/>
      <c r="BS113" s="1508" t="n"/>
      <c r="BT113" s="1508" t="n"/>
      <c r="BU113" s="1508" t="n"/>
      <c r="BV113" s="1508" t="n"/>
      <c r="BW113" s="1508" t="n"/>
      <c r="BX113" s="1508" t="n"/>
      <c r="BY113" s="1508" t="n"/>
      <c r="BZ113" s="1508" t="n"/>
      <c r="CA113" s="1508" t="n"/>
      <c r="CB113" s="1508" t="n"/>
      <c r="CC113" s="1508" t="n"/>
      <c r="CD113" s="1508" t="n"/>
      <c r="CE113" s="1508" t="n"/>
      <c r="CF113" s="1508" t="n"/>
      <c r="CG113" s="1508" t="n"/>
      <c r="CH113" s="1508" t="n"/>
      <c r="CI113" s="1508" t="n"/>
      <c r="CJ113" s="1508" t="n"/>
      <c r="CK113" s="1508" t="n"/>
      <c r="CL113" s="1508" t="n"/>
      <c r="CM113" s="1508" t="n"/>
      <c r="CN113" s="1508" t="n"/>
      <c r="CO113" s="1508" t="n"/>
      <c r="CP113" s="1508" t="n"/>
      <c r="CQ113" s="1508" t="n"/>
      <c r="CR113" s="1508" t="n"/>
      <c r="CS113" s="1508" t="n"/>
      <c r="CT113" s="1508" t="n"/>
      <c r="CU113" s="1508" t="n"/>
      <c r="CV113" s="1508" t="n"/>
      <c r="CW113" s="1508" t="n"/>
      <c r="CX113" s="1508" t="n"/>
      <c r="CY113" s="1508" t="n"/>
      <c r="CZ113" s="1508" t="n"/>
      <c r="DA113" s="1508" t="n"/>
      <c r="DB113" s="1508" t="n"/>
      <c r="DC113" s="1508" t="n"/>
      <c r="DD113" s="1508" t="n"/>
      <c r="DE113" s="1508" t="n"/>
      <c r="DF113" s="1508" t="n"/>
      <c r="DG113" s="1508" t="n"/>
      <c r="DH113" s="1508" t="n"/>
      <c r="DI113" s="1508" t="n"/>
      <c r="DJ113" s="1508" t="n"/>
      <c r="DK113" s="1508" t="n"/>
      <c r="DL113" s="1508" t="n"/>
      <c r="DM113" s="1508" t="n"/>
      <c r="DN113" s="1508" t="n"/>
      <c r="DO113" s="1508" t="n"/>
      <c r="DP113" s="1508" t="n"/>
    </row>
    <row r="114">
      <c r="D114" s="1508" t="n"/>
      <c r="E114" s="1508" t="n"/>
      <c r="F114" s="1508" t="n"/>
      <c r="G114" s="1508" t="n"/>
      <c r="H114" s="1508" t="n"/>
      <c r="I114" s="1508" t="n"/>
      <c r="J114" s="1508" t="n"/>
      <c r="K114" s="1508" t="n"/>
      <c r="L114" s="1508" t="n"/>
      <c r="M114" s="1508" t="n"/>
      <c r="N114" s="1508" t="n"/>
      <c r="O114" s="1508" t="n"/>
      <c r="P114" s="1508" t="n"/>
      <c r="Q114" s="1508" t="n"/>
      <c r="R114" s="1508" t="n"/>
      <c r="S114" s="1508" t="n"/>
      <c r="T114" s="1508" t="n"/>
      <c r="U114" s="1508" t="n"/>
      <c r="V114" s="1508" t="n"/>
      <c r="W114" s="1508" t="n"/>
      <c r="X114" s="1508" t="n"/>
      <c r="Y114" s="1508" t="n"/>
      <c r="Z114" s="1508" t="n"/>
      <c r="AA114" s="1508" t="n"/>
      <c r="AB114" s="1508" t="n"/>
      <c r="AC114" s="1508" t="n"/>
      <c r="AD114" s="1508" t="n"/>
      <c r="AE114" s="1508" t="n"/>
      <c r="AF114" s="1508" t="n"/>
      <c r="AG114" s="1508" t="n"/>
      <c r="AH114" s="1508" t="n"/>
      <c r="AI114" s="1508" t="n"/>
      <c r="AJ114" s="1508" t="n"/>
      <c r="AK114" s="1508" t="n"/>
      <c r="AL114" s="1508" t="n"/>
      <c r="AM114" s="1508" t="n"/>
      <c r="AN114" s="1508" t="n"/>
      <c r="AO114" s="1508" t="n"/>
      <c r="AP114" s="1508" t="n"/>
      <c r="AQ114" s="1508" t="n"/>
      <c r="AR114" s="1508" t="n"/>
      <c r="AS114" s="1508" t="n"/>
      <c r="AT114" s="1508" t="n"/>
      <c r="AU114" s="1508" t="n"/>
      <c r="AV114" s="1508" t="n"/>
      <c r="AW114" s="1508" t="n"/>
      <c r="AX114" s="1508" t="n"/>
      <c r="AY114" s="1508" t="n"/>
      <c r="AZ114" s="1508" t="n"/>
      <c r="BA114" s="1508" t="n"/>
      <c r="BB114" s="1508" t="n"/>
      <c r="BC114" s="1508" t="n"/>
      <c r="BD114" s="1508" t="n"/>
      <c r="BE114" s="1508" t="n"/>
      <c r="BF114" s="1508" t="n"/>
      <c r="BG114" s="1508" t="n"/>
      <c r="BH114" s="1508" t="n"/>
      <c r="BI114" s="1508" t="n"/>
      <c r="BJ114" s="1508" t="n"/>
      <c r="BK114" s="1508" t="n"/>
      <c r="BL114" s="1508" t="n"/>
      <c r="BM114" s="1508" t="n"/>
      <c r="BN114" s="1508" t="n"/>
      <c r="BO114" s="1508" t="n"/>
      <c r="BP114" s="1508" t="n"/>
      <c r="BQ114" s="1508" t="n"/>
      <c r="BR114" s="1508" t="n"/>
      <c r="BS114" s="1508" t="n"/>
      <c r="BT114" s="1508" t="n"/>
      <c r="BU114" s="1508" t="n"/>
      <c r="BV114" s="1508" t="n"/>
      <c r="BW114" s="1508" t="n"/>
      <c r="BX114" s="1508" t="n"/>
      <c r="BY114" s="1508" t="n"/>
      <c r="BZ114" s="1508" t="n"/>
      <c r="CA114" s="1508" t="n"/>
      <c r="CB114" s="1508" t="n"/>
      <c r="CC114" s="1508" t="n"/>
      <c r="CD114" s="1508" t="n"/>
      <c r="CE114" s="1508" t="n"/>
      <c r="CF114" s="1508" t="n"/>
      <c r="CG114" s="1508" t="n"/>
      <c r="CH114" s="1508" t="n"/>
      <c r="CI114" s="1508" t="n"/>
      <c r="CJ114" s="1508" t="n"/>
      <c r="CK114" s="1508" t="n"/>
      <c r="CL114" s="1508" t="n"/>
      <c r="CM114" s="1508" t="n"/>
      <c r="CN114" s="1508" t="n"/>
      <c r="CO114" s="1508" t="n"/>
      <c r="CP114" s="1508" t="n"/>
      <c r="CQ114" s="1508" t="n"/>
      <c r="CR114" s="1508" t="n"/>
      <c r="CS114" s="1508" t="n"/>
      <c r="CT114" s="1508" t="n"/>
      <c r="CU114" s="1508" t="n"/>
      <c r="CV114" s="1508" t="n"/>
      <c r="CW114" s="1508" t="n"/>
      <c r="CX114" s="1508" t="n"/>
      <c r="CY114" s="1508" t="n"/>
      <c r="CZ114" s="1508" t="n"/>
      <c r="DA114" s="1508" t="n"/>
      <c r="DB114" s="1508" t="n"/>
      <c r="DC114" s="1508" t="n"/>
      <c r="DD114" s="1508" t="n"/>
      <c r="DE114" s="1508" t="n"/>
      <c r="DF114" s="1508" t="n"/>
      <c r="DG114" s="1508" t="n"/>
      <c r="DH114" s="1508" t="n"/>
      <c r="DI114" s="1508" t="n"/>
      <c r="DJ114" s="1508" t="n"/>
      <c r="DK114" s="1508" t="n"/>
      <c r="DL114" s="1508" t="n"/>
      <c r="DM114" s="1508" t="n"/>
      <c r="DN114" s="1508" t="n"/>
      <c r="DO114" s="1508" t="n"/>
      <c r="DP114" s="1508" t="n"/>
    </row>
    <row r="115">
      <c r="D115" s="1508" t="n"/>
      <c r="E115" s="1508" t="n"/>
      <c r="F115" s="1508" t="n"/>
      <c r="G115" s="1508" t="n"/>
      <c r="H115" s="1508" t="n"/>
      <c r="I115" s="1508" t="n"/>
      <c r="J115" s="1508" t="n"/>
      <c r="K115" s="1508" t="n"/>
      <c r="L115" s="1508" t="n"/>
      <c r="M115" s="1508" t="n"/>
      <c r="N115" s="1508" t="n"/>
      <c r="O115" s="1508" t="n"/>
      <c r="P115" s="1508" t="n"/>
      <c r="Q115" s="1508" t="n"/>
      <c r="R115" s="1508" t="n"/>
      <c r="S115" s="1508" t="n"/>
      <c r="T115" s="1508" t="n"/>
      <c r="U115" s="1508" t="n"/>
      <c r="V115" s="1508" t="n"/>
      <c r="W115" s="1508" t="n"/>
      <c r="X115" s="1508" t="n"/>
      <c r="Y115" s="1508" t="n"/>
      <c r="Z115" s="1508" t="n"/>
      <c r="AA115" s="1508" t="n"/>
      <c r="AB115" s="1508" t="n"/>
      <c r="AC115" s="1508" t="n"/>
      <c r="AD115" s="1508" t="n"/>
      <c r="AE115" s="1508" t="n"/>
      <c r="AF115" s="1508" t="n"/>
      <c r="AG115" s="1508" t="n"/>
      <c r="AH115" s="1508" t="n"/>
      <c r="AI115" s="1508" t="n"/>
      <c r="AJ115" s="1508" t="n"/>
      <c r="AK115" s="1508" t="n"/>
      <c r="AL115" s="1508" t="n"/>
      <c r="AM115" s="1508" t="n"/>
      <c r="AN115" s="1508" t="n"/>
      <c r="AO115" s="1508" t="n"/>
      <c r="AP115" s="1508" t="n"/>
      <c r="AQ115" s="1508" t="n"/>
      <c r="AR115" s="1508" t="n"/>
      <c r="AS115" s="1508" t="n"/>
      <c r="AT115" s="1508" t="n"/>
      <c r="AU115" s="1508" t="n"/>
      <c r="AV115" s="1508" t="n"/>
      <c r="AW115" s="1508" t="n"/>
      <c r="AX115" s="1508" t="n"/>
      <c r="AY115" s="1508" t="n"/>
      <c r="AZ115" s="1508" t="n"/>
      <c r="BA115" s="1508" t="n"/>
      <c r="BB115" s="1508" t="n"/>
      <c r="BC115" s="1508" t="n"/>
      <c r="BD115" s="1508" t="n"/>
      <c r="BE115" s="1508" t="n"/>
      <c r="BF115" s="1508" t="n"/>
      <c r="BG115" s="1508" t="n"/>
      <c r="BH115" s="1508" t="n"/>
      <c r="BI115" s="1508" t="n"/>
      <c r="BJ115" s="1508" t="n"/>
      <c r="BK115" s="1508" t="n"/>
      <c r="BL115" s="1508" t="n"/>
      <c r="BM115" s="1508" t="n"/>
      <c r="BN115" s="1508" t="n"/>
      <c r="BO115" s="1508" t="n"/>
      <c r="BP115" s="1508" t="n"/>
      <c r="BQ115" s="1508" t="n"/>
      <c r="BR115" s="1508" t="n"/>
      <c r="BS115" s="1508" t="n"/>
      <c r="BT115" s="1508" t="n"/>
      <c r="BU115" s="1508" t="n"/>
      <c r="BV115" s="1508" t="n"/>
      <c r="BW115" s="1508" t="n"/>
      <c r="BX115" s="1508" t="n"/>
      <c r="BY115" s="1508" t="n"/>
      <c r="BZ115" s="1508" t="n"/>
      <c r="CA115" s="1508" t="n"/>
      <c r="CB115" s="1508" t="n"/>
      <c r="CC115" s="1508" t="n"/>
      <c r="CD115" s="1508" t="n"/>
      <c r="CE115" s="1508" t="n"/>
      <c r="CF115" s="1508" t="n"/>
      <c r="CG115" s="1508" t="n"/>
      <c r="CH115" s="1508" t="n"/>
      <c r="CI115" s="1508" t="n"/>
      <c r="CJ115" s="1508" t="n"/>
      <c r="CK115" s="1508" t="n"/>
      <c r="CL115" s="1508" t="n"/>
      <c r="CM115" s="1508" t="n"/>
      <c r="CN115" s="1508" t="n"/>
      <c r="CO115" s="1508" t="n"/>
      <c r="CP115" s="1508" t="n"/>
      <c r="CQ115" s="1508" t="n"/>
      <c r="CR115" s="1508" t="n"/>
      <c r="CS115" s="1508" t="n"/>
      <c r="CT115" s="1508" t="n"/>
      <c r="CU115" s="1508" t="n"/>
      <c r="CV115" s="1508" t="n"/>
      <c r="CW115" s="1508" t="n"/>
      <c r="CX115" s="1508" t="n"/>
      <c r="CY115" s="1508" t="n"/>
      <c r="CZ115" s="1508" t="n"/>
      <c r="DA115" s="1508" t="n"/>
      <c r="DB115" s="1508" t="n"/>
      <c r="DC115" s="1508" t="n"/>
      <c r="DD115" s="1508" t="n"/>
      <c r="DE115" s="1508" t="n"/>
      <c r="DF115" s="1508" t="n"/>
      <c r="DG115" s="1508" t="n"/>
      <c r="DH115" s="1508" t="n"/>
      <c r="DI115" s="1508" t="n"/>
      <c r="DJ115" s="1508" t="n"/>
      <c r="DK115" s="1508" t="n"/>
      <c r="DL115" s="1508" t="n"/>
      <c r="DM115" s="1508" t="n"/>
      <c r="DN115" s="1508" t="n"/>
      <c r="DO115" s="1508" t="n"/>
      <c r="DP115" s="1508" t="n"/>
    </row>
    <row r="116">
      <c r="D116" s="1508" t="n"/>
      <c r="E116" s="1508" t="n"/>
      <c r="F116" s="1508" t="n"/>
      <c r="G116" s="1508" t="n"/>
      <c r="H116" s="1508" t="n"/>
      <c r="I116" s="1508" t="n"/>
      <c r="J116" s="1508" t="n"/>
      <c r="K116" s="1508" t="n"/>
      <c r="L116" s="1508" t="n"/>
      <c r="M116" s="1508" t="n"/>
      <c r="N116" s="1508" t="n"/>
      <c r="O116" s="1508" t="n"/>
      <c r="P116" s="1508" t="n"/>
      <c r="Q116" s="1508" t="n"/>
      <c r="R116" s="1508" t="n"/>
      <c r="S116" s="1508" t="n"/>
      <c r="T116" s="1508" t="n"/>
      <c r="U116" s="1508" t="n"/>
      <c r="V116" s="1508" t="n"/>
      <c r="W116" s="1508" t="n"/>
      <c r="X116" s="1508" t="n"/>
      <c r="Y116" s="1508" t="n"/>
      <c r="Z116" s="1508" t="n"/>
      <c r="AA116" s="1508" t="n"/>
      <c r="AB116" s="1508" t="n"/>
      <c r="AC116" s="1508" t="n"/>
      <c r="AD116" s="1508" t="n"/>
      <c r="AE116" s="1508" t="n"/>
      <c r="AF116" s="1508" t="n"/>
      <c r="AG116" s="1508" t="n"/>
      <c r="AH116" s="1508" t="n"/>
      <c r="AI116" s="1508" t="n"/>
      <c r="AJ116" s="1508" t="n"/>
      <c r="AK116" s="1508" t="n"/>
      <c r="AL116" s="1508" t="n"/>
      <c r="AM116" s="1508" t="n"/>
      <c r="AN116" s="1508" t="n"/>
      <c r="AO116" s="1508" t="n"/>
      <c r="AP116" s="1508" t="n"/>
      <c r="AQ116" s="1508" t="n"/>
      <c r="AR116" s="1508" t="n"/>
      <c r="AS116" s="1508" t="n"/>
      <c r="AT116" s="1508" t="n"/>
      <c r="AU116" s="1508" t="n"/>
      <c r="AV116" s="1508" t="n"/>
      <c r="AW116" s="1508" t="n"/>
      <c r="AX116" s="1508" t="n"/>
      <c r="AY116" s="1508" t="n"/>
      <c r="AZ116" s="1508" t="n"/>
      <c r="BA116" s="1508" t="n"/>
      <c r="BB116" s="1508" t="n"/>
      <c r="BC116" s="1508" t="n"/>
      <c r="BD116" s="1508" t="n"/>
      <c r="BE116" s="1508" t="n"/>
      <c r="BF116" s="1508" t="n"/>
      <c r="BG116" s="1508" t="n"/>
      <c r="BH116" s="1508" t="n"/>
      <c r="BI116" s="1508" t="n"/>
      <c r="BJ116" s="1508" t="n"/>
      <c r="BK116" s="1508" t="n"/>
      <c r="BL116" s="1508" t="n"/>
      <c r="BM116" s="1508" t="n"/>
      <c r="BN116" s="1508" t="n"/>
      <c r="BO116" s="1508" t="n"/>
      <c r="BP116" s="1508" t="n"/>
      <c r="BQ116" s="1508" t="n"/>
      <c r="BR116" s="1508" t="n"/>
      <c r="BS116" s="1508" t="n"/>
      <c r="BT116" s="1508" t="n"/>
      <c r="BU116" s="1508" t="n"/>
      <c r="BV116" s="1508" t="n"/>
      <c r="BW116" s="1508" t="n"/>
      <c r="BX116" s="1508" t="n"/>
      <c r="BY116" s="1508" t="n"/>
      <c r="BZ116" s="1508" t="n"/>
      <c r="CA116" s="1508" t="n"/>
      <c r="CB116" s="1508" t="n"/>
      <c r="CC116" s="1508" t="n"/>
      <c r="CD116" s="1508" t="n"/>
      <c r="CE116" s="1508" t="n"/>
      <c r="CF116" s="1508" t="n"/>
      <c r="CG116" s="1508" t="n"/>
      <c r="CH116" s="1508" t="n"/>
      <c r="CI116" s="1508" t="n"/>
      <c r="CJ116" s="1508" t="n"/>
      <c r="CK116" s="1508" t="n"/>
      <c r="CL116" s="1508" t="n"/>
      <c r="CM116" s="1508" t="n"/>
      <c r="CN116" s="1508" t="n"/>
      <c r="CO116" s="1508" t="n"/>
      <c r="CP116" s="1508" t="n"/>
      <c r="CQ116" s="1508" t="n"/>
      <c r="CR116" s="1508" t="n"/>
      <c r="CS116" s="1508" t="n"/>
      <c r="CT116" s="1508" t="n"/>
      <c r="CU116" s="1508" t="n"/>
      <c r="CV116" s="1508" t="n"/>
      <c r="CW116" s="1508" t="n"/>
      <c r="CX116" s="1508" t="n"/>
      <c r="CY116" s="1508" t="n"/>
      <c r="CZ116" s="1508" t="n"/>
      <c r="DA116" s="1508" t="n"/>
      <c r="DB116" s="1508" t="n"/>
      <c r="DC116" s="1508" t="n"/>
      <c r="DD116" s="1508" t="n"/>
      <c r="DE116" s="1508" t="n"/>
      <c r="DF116" s="1508" t="n"/>
      <c r="DG116" s="1508" t="n"/>
      <c r="DH116" s="1508" t="n"/>
      <c r="DI116" s="1508" t="n"/>
      <c r="DJ116" s="1508" t="n"/>
      <c r="DK116" s="1508" t="n"/>
      <c r="DL116" s="1508" t="n"/>
      <c r="DM116" s="1508" t="n"/>
      <c r="DN116" s="1508" t="n"/>
      <c r="DO116" s="1508" t="n"/>
      <c r="DP116" s="1508" t="n"/>
    </row>
    <row r="117"/>
    <row r="118">
      <c r="D118" s="1508" t="n"/>
      <c r="E118" s="1508" t="n"/>
      <c r="F118" s="1508" t="n"/>
      <c r="G118" s="1508" t="n"/>
      <c r="H118" s="1508" t="n"/>
      <c r="I118" s="1508" t="n"/>
      <c r="J118" s="1508" t="n"/>
      <c r="K118" s="1508" t="n"/>
      <c r="L118" s="1508" t="n"/>
      <c r="M118" s="1508" t="n"/>
      <c r="N118" s="1508" t="n"/>
      <c r="O118" s="1508" t="n"/>
      <c r="P118" s="1508" t="n"/>
      <c r="Q118" s="1508" t="n"/>
      <c r="R118" s="1508" t="n"/>
      <c r="S118" s="1508" t="n"/>
      <c r="T118" s="1508" t="n"/>
      <c r="U118" s="1508" t="n"/>
      <c r="V118" s="1508" t="n"/>
      <c r="W118" s="1508" t="n"/>
      <c r="X118" s="1508" t="n"/>
      <c r="Y118" s="1508" t="n"/>
      <c r="Z118" s="1508" t="n"/>
      <c r="AA118" s="1508" t="n"/>
      <c r="AB118" s="1508" t="n"/>
      <c r="AC118" s="1508" t="n"/>
      <c r="AD118" s="1508" t="n"/>
      <c r="AE118" s="1508" t="n"/>
      <c r="AF118" s="1508" t="n"/>
      <c r="AG118" s="1508" t="n"/>
      <c r="AH118" s="1508" t="n"/>
      <c r="AI118" s="1508" t="n"/>
      <c r="AJ118" s="1508" t="n"/>
      <c r="AK118" s="1508" t="n"/>
      <c r="AL118" s="1508" t="n"/>
      <c r="AM118" s="1508" t="n"/>
      <c r="AN118" s="1508" t="n"/>
      <c r="AO118" s="1508" t="n"/>
      <c r="AP118" s="1508" t="n"/>
      <c r="AQ118" s="1508" t="n"/>
      <c r="AR118" s="1508" t="n"/>
      <c r="AS118" s="1508" t="n"/>
      <c r="AT118" s="1508" t="n"/>
      <c r="AU118" s="1508" t="n"/>
      <c r="AV118" s="1508" t="n"/>
      <c r="AW118" s="1508" t="n"/>
      <c r="AX118" s="1508" t="n"/>
      <c r="AY118" s="1508" t="n"/>
      <c r="AZ118" s="1508" t="n"/>
      <c r="BA118" s="1508" t="n"/>
      <c r="BB118" s="1508" t="n"/>
      <c r="BC118" s="1508" t="n"/>
      <c r="BD118" s="1508" t="n"/>
      <c r="BE118" s="1508" t="n"/>
      <c r="BF118" s="1508" t="n"/>
      <c r="BG118" s="1508" t="n"/>
      <c r="BH118" s="1508" t="n"/>
      <c r="BI118" s="1508" t="n"/>
      <c r="BJ118" s="1508" t="n"/>
      <c r="BK118" s="1508" t="n"/>
      <c r="BL118" s="1508" t="n"/>
      <c r="BM118" s="1508" t="n"/>
      <c r="BN118" s="1508" t="n"/>
      <c r="BO118" s="1508" t="n"/>
      <c r="BP118" s="1508" t="n"/>
      <c r="BQ118" s="1508" t="n"/>
      <c r="BR118" s="1508" t="n"/>
      <c r="BS118" s="1508" t="n"/>
      <c r="BT118" s="1508" t="n"/>
      <c r="BU118" s="1508" t="n"/>
      <c r="BV118" s="1508" t="n"/>
      <c r="BW118" s="1508" t="n"/>
      <c r="BX118" s="1508" t="n"/>
      <c r="BY118" s="1508" t="n"/>
      <c r="BZ118" s="1508" t="n"/>
      <c r="CA118" s="1508" t="n"/>
      <c r="CB118" s="1508" t="n"/>
      <c r="CC118" s="1508" t="n"/>
      <c r="CD118" s="1508" t="n"/>
      <c r="CE118" s="1508" t="n"/>
      <c r="CF118" s="1508" t="n"/>
      <c r="CG118" s="1508" t="n"/>
      <c r="CH118" s="1508" t="n"/>
      <c r="CI118" s="1508" t="n"/>
      <c r="CJ118" s="1508" t="n"/>
      <c r="CK118" s="1508" t="n"/>
      <c r="CL118" s="1508" t="n"/>
      <c r="CM118" s="1508" t="n"/>
      <c r="CN118" s="1508" t="n"/>
      <c r="CO118" s="1508" t="n"/>
      <c r="CP118" s="1508" t="n"/>
      <c r="CQ118" s="1508" t="n"/>
      <c r="CR118" s="1508" t="n"/>
      <c r="CS118" s="1508" t="n"/>
      <c r="CT118" s="1508" t="n"/>
      <c r="CU118" s="1508" t="n"/>
      <c r="CV118" s="1508" t="n"/>
      <c r="CW118" s="1508" t="n"/>
      <c r="CX118" s="1508" t="n"/>
      <c r="CY118" s="1508" t="n"/>
      <c r="CZ118" s="1508" t="n"/>
      <c r="DA118" s="1508" t="n"/>
      <c r="DB118" s="1508" t="n"/>
      <c r="DC118" s="1508" t="n"/>
      <c r="DD118" s="1508" t="n"/>
      <c r="DE118" s="1508" t="n"/>
      <c r="DF118" s="1508" t="n"/>
      <c r="DG118" s="1508" t="n"/>
      <c r="DH118" s="1508" t="n"/>
      <c r="DI118" s="1508" t="n"/>
      <c r="DJ118" s="1508" t="n"/>
      <c r="DK118" s="1508" t="n"/>
      <c r="DL118" s="1508" t="n"/>
      <c r="DM118" s="1508" t="n"/>
      <c r="DN118" s="1508" t="n"/>
      <c r="DO118" s="1508" t="n"/>
      <c r="DP118" s="1508" t="n"/>
    </row>
    <row r="119"/>
    <row r="120">
      <c r="D120" s="1508" t="n"/>
      <c r="E120" s="1508" t="n"/>
      <c r="F120" s="1508" t="n"/>
      <c r="G120" s="1508" t="n"/>
      <c r="H120" s="1508" t="n"/>
      <c r="I120" s="1508" t="n"/>
      <c r="J120" s="1508" t="n"/>
      <c r="K120" s="1508" t="n"/>
      <c r="L120" s="1508" t="n"/>
      <c r="M120" s="1508" t="n"/>
      <c r="N120" s="1508" t="n"/>
      <c r="O120" s="1508" t="n"/>
      <c r="P120" s="1508" t="n"/>
      <c r="Q120" s="1508" t="n"/>
      <c r="R120" s="1508" t="n"/>
      <c r="S120" s="1508" t="n"/>
      <c r="T120" s="1508" t="n"/>
      <c r="U120" s="1508" t="n"/>
      <c r="V120" s="1508" t="n"/>
      <c r="W120" s="1508" t="n"/>
      <c r="X120" s="1508" t="n"/>
      <c r="Y120" s="1508" t="n"/>
      <c r="Z120" s="1508" t="n"/>
      <c r="AA120" s="1508" t="n"/>
      <c r="AB120" s="1508" t="n"/>
      <c r="AC120" s="1508" t="n"/>
      <c r="AD120" s="1508" t="n"/>
      <c r="AE120" s="1508" t="n"/>
      <c r="AF120" s="1508" t="n"/>
      <c r="AG120" s="1508" t="n"/>
      <c r="AH120" s="1508" t="n"/>
      <c r="AI120" s="1508" t="n"/>
      <c r="AJ120" s="1508" t="n"/>
      <c r="AK120" s="1508" t="n"/>
      <c r="AL120" s="1508" t="n"/>
      <c r="AM120" s="1508" t="n"/>
      <c r="AN120" s="1508" t="n"/>
      <c r="AO120" s="1508" t="n"/>
      <c r="AP120" s="1508" t="n"/>
      <c r="AQ120" s="1508" t="n"/>
      <c r="AR120" s="1508" t="n"/>
      <c r="AS120" s="1508" t="n"/>
      <c r="AT120" s="1508" t="n"/>
      <c r="AU120" s="1508" t="n"/>
      <c r="AV120" s="1508" t="n"/>
      <c r="AW120" s="1508" t="n"/>
      <c r="AX120" s="1508" t="n"/>
      <c r="AY120" s="1508" t="n"/>
      <c r="AZ120" s="1508" t="n"/>
      <c r="BA120" s="1508" t="n"/>
      <c r="BB120" s="1508" t="n"/>
      <c r="BC120" s="1508" t="n"/>
      <c r="BD120" s="1508" t="n"/>
      <c r="BE120" s="1508" t="n"/>
      <c r="BF120" s="1508" t="n"/>
      <c r="BG120" s="1508" t="n"/>
      <c r="BH120" s="1508" t="n"/>
      <c r="BI120" s="1508" t="n"/>
      <c r="BJ120" s="1508" t="n"/>
      <c r="BK120" s="1508" t="n"/>
      <c r="BL120" s="1508" t="n"/>
      <c r="BM120" s="1508" t="n"/>
      <c r="BN120" s="1508" t="n"/>
      <c r="BO120" s="1508" t="n"/>
      <c r="BP120" s="1508" t="n"/>
      <c r="BQ120" s="1508" t="n"/>
      <c r="BR120" s="1508" t="n"/>
      <c r="BS120" s="1508" t="n"/>
      <c r="BT120" s="1508" t="n"/>
      <c r="BU120" s="1508" t="n"/>
      <c r="BV120" s="1508" t="n"/>
      <c r="BW120" s="1508" t="n"/>
      <c r="BX120" s="1508" t="n"/>
      <c r="BY120" s="1508" t="n"/>
      <c r="BZ120" s="1508" t="n"/>
      <c r="CA120" s="1508" t="n"/>
      <c r="CB120" s="1508" t="n"/>
      <c r="CC120" s="1508" t="n"/>
      <c r="CD120" s="1508" t="n"/>
      <c r="CE120" s="1508" t="n"/>
      <c r="CF120" s="1508" t="n"/>
      <c r="CG120" s="1508" t="n"/>
      <c r="CH120" s="1508" t="n"/>
      <c r="CI120" s="1508" t="n"/>
      <c r="CJ120" s="1508" t="n"/>
      <c r="CK120" s="1508" t="n"/>
      <c r="CL120" s="1508" t="n"/>
      <c r="CM120" s="1508" t="n"/>
      <c r="CN120" s="1508" t="n"/>
      <c r="CO120" s="1508" t="n"/>
      <c r="CP120" s="1508" t="n"/>
      <c r="CQ120" s="1508" t="n"/>
      <c r="CR120" s="1508" t="n"/>
      <c r="CS120" s="1508" t="n"/>
      <c r="CT120" s="1508" t="n"/>
      <c r="CU120" s="1508" t="n"/>
      <c r="CV120" s="1508" t="n"/>
      <c r="CW120" s="1508" t="n"/>
      <c r="CX120" s="1508" t="n"/>
      <c r="CY120" s="1508" t="n"/>
      <c r="CZ120" s="1508" t="n"/>
      <c r="DA120" s="1508" t="n"/>
      <c r="DB120" s="1508" t="n"/>
      <c r="DC120" s="1508" t="n"/>
      <c r="DD120" s="1508" t="n"/>
      <c r="DE120" s="1508" t="n"/>
      <c r="DF120" s="1508" t="n"/>
      <c r="DG120" s="1508" t="n"/>
      <c r="DH120" s="1508" t="n"/>
      <c r="DI120" s="1508" t="n"/>
      <c r="DJ120" s="1508" t="n"/>
      <c r="DK120" s="1508" t="n"/>
      <c r="DL120" s="1508" t="n"/>
      <c r="DM120" s="1508" t="n"/>
      <c r="DN120" s="1508" t="n"/>
      <c r="DO120" s="1508" t="n"/>
      <c r="DP120" s="1508" t="n"/>
    </row>
    <row r="121"/>
    <row r="122"/>
    <row r="123"/>
    <row r="124">
      <c r="B124" s="768" t="n"/>
      <c r="C124" s="768" t="n"/>
    </row>
    <row r="125">
      <c r="D125" s="1508" t="n"/>
      <c r="E125" s="1508" t="n"/>
      <c r="F125" s="1508" t="n"/>
      <c r="G125" s="1508" t="n"/>
      <c r="H125" s="1508" t="n"/>
      <c r="I125" s="1508" t="n"/>
      <c r="J125" s="1508" t="n"/>
      <c r="K125" s="1508" t="n"/>
      <c r="L125" s="1508" t="n"/>
      <c r="M125" s="1508" t="n"/>
      <c r="N125" s="1508" t="n"/>
      <c r="O125" s="1508" t="n"/>
      <c r="P125" s="1508" t="n"/>
      <c r="Q125" s="1508" t="n"/>
      <c r="R125" s="1508" t="n"/>
      <c r="S125" s="1508" t="n"/>
      <c r="T125" s="1508" t="n"/>
      <c r="U125" s="1508" t="n"/>
      <c r="V125" s="1508" t="n"/>
      <c r="W125" s="1508" t="n"/>
      <c r="X125" s="1508" t="n"/>
      <c r="Y125" s="1508" t="n"/>
      <c r="Z125" s="1508" t="n"/>
      <c r="AA125" s="1508" t="n"/>
      <c r="AB125" s="1508" t="n"/>
      <c r="AC125" s="1508" t="n"/>
      <c r="AD125" s="1508" t="n"/>
      <c r="AE125" s="1508" t="n"/>
      <c r="AF125" s="1508" t="n"/>
      <c r="AG125" s="1508" t="n"/>
      <c r="AH125" s="1508" t="n"/>
      <c r="AI125" s="1508" t="n"/>
      <c r="AJ125" s="1508" t="n"/>
      <c r="AK125" s="1508" t="n"/>
      <c r="AL125" s="1508" t="n"/>
      <c r="AM125" s="1508" t="n"/>
      <c r="AN125" s="1508" t="n"/>
      <c r="AO125" s="1508" t="n"/>
      <c r="AP125" s="1508" t="n"/>
      <c r="AQ125" s="1508" t="n"/>
      <c r="AR125" s="1508" t="n"/>
      <c r="AS125" s="1508" t="n"/>
      <c r="AT125" s="1508" t="n"/>
      <c r="AU125" s="1508" t="n"/>
      <c r="AV125" s="1508" t="n"/>
      <c r="AW125" s="1508" t="n"/>
      <c r="AX125" s="1508" t="n"/>
      <c r="AY125" s="1508" t="n"/>
      <c r="AZ125" s="1508" t="n"/>
      <c r="BA125" s="1508" t="n"/>
      <c r="BB125" s="1508" t="n"/>
      <c r="BC125" s="1508" t="n"/>
      <c r="BD125" s="1508" t="n"/>
      <c r="BE125" s="1508" t="n"/>
      <c r="BF125" s="1508" t="n"/>
      <c r="BG125" s="1508" t="n"/>
      <c r="BH125" s="1508" t="n"/>
      <c r="BI125" s="1508" t="n"/>
      <c r="BJ125" s="1508" t="n"/>
      <c r="BK125" s="1508" t="n"/>
      <c r="BL125" s="1508" t="n"/>
      <c r="BM125" s="1508" t="n"/>
      <c r="BN125" s="1508" t="n"/>
      <c r="BO125" s="1508" t="n"/>
      <c r="BP125" s="1508" t="n"/>
      <c r="BQ125" s="1508" t="n"/>
      <c r="BR125" s="1508" t="n"/>
      <c r="BS125" s="1508" t="n"/>
      <c r="BT125" s="1508" t="n"/>
      <c r="BU125" s="1508" t="n"/>
      <c r="BV125" s="1508" t="n"/>
      <c r="BW125" s="1508" t="n"/>
      <c r="BX125" s="1508" t="n"/>
      <c r="BY125" s="1508" t="n"/>
      <c r="BZ125" s="1508" t="n"/>
      <c r="CA125" s="1508" t="n"/>
      <c r="CB125" s="1508" t="n"/>
      <c r="CC125" s="1508" t="n"/>
      <c r="CD125" s="1508" t="n"/>
      <c r="CE125" s="1508" t="n"/>
      <c r="CF125" s="1508" t="n"/>
      <c r="CG125" s="1508" t="n"/>
      <c r="CH125" s="1508" t="n"/>
      <c r="CI125" s="1508" t="n"/>
      <c r="CJ125" s="1508" t="n"/>
      <c r="CK125" s="1508" t="n"/>
      <c r="CL125" s="1508" t="n"/>
      <c r="CM125" s="1508" t="n"/>
      <c r="CN125" s="1508" t="n"/>
      <c r="CO125" s="1508" t="n"/>
      <c r="CP125" s="1508" t="n"/>
      <c r="CQ125" s="1508" t="n"/>
      <c r="CR125" s="1508" t="n"/>
      <c r="CS125" s="1508" t="n"/>
      <c r="CT125" s="1508" t="n"/>
      <c r="CU125" s="1508" t="n"/>
      <c r="CV125" s="1508" t="n"/>
      <c r="CW125" s="1508" t="n"/>
      <c r="CX125" s="1508" t="n"/>
      <c r="CY125" s="1508" t="n"/>
      <c r="CZ125" s="1508" t="n"/>
      <c r="DA125" s="1508" t="n"/>
      <c r="DB125" s="1508" t="n"/>
      <c r="DC125" s="1508" t="n"/>
      <c r="DD125" s="1508" t="n"/>
      <c r="DE125" s="1508" t="n"/>
      <c r="DF125" s="1508" t="n"/>
      <c r="DG125" s="1508" t="n"/>
      <c r="DH125" s="1508" t="n"/>
      <c r="DI125" s="1508" t="n"/>
      <c r="DJ125" s="1508" t="n"/>
      <c r="DK125" s="1508" t="n"/>
      <c r="DL125" s="1508" t="n"/>
      <c r="DM125" s="1508" t="n"/>
      <c r="DN125" s="1508" t="n"/>
      <c r="DO125" s="1508" t="n"/>
      <c r="DP125" s="1508" t="n"/>
    </row>
    <row r="126">
      <c r="D126" s="1508" t="n"/>
      <c r="E126" s="1508" t="n"/>
      <c r="F126" s="1508" t="n"/>
      <c r="G126" s="1508" t="n"/>
      <c r="H126" s="1508" t="n"/>
      <c r="I126" s="1508" t="n"/>
      <c r="J126" s="1508" t="n"/>
      <c r="K126" s="1508" t="n"/>
      <c r="L126" s="1508" t="n"/>
      <c r="M126" s="1508" t="n"/>
      <c r="N126" s="1508" t="n"/>
      <c r="O126" s="1508" t="n"/>
      <c r="P126" s="1508" t="n"/>
      <c r="Q126" s="1508" t="n"/>
      <c r="R126" s="1508" t="n"/>
      <c r="S126" s="1508" t="n"/>
      <c r="T126" s="1508" t="n"/>
      <c r="U126" s="1508" t="n"/>
      <c r="V126" s="1508" t="n"/>
      <c r="W126" s="1508" t="n"/>
      <c r="X126" s="1508" t="n"/>
      <c r="Y126" s="1508" t="n"/>
      <c r="Z126" s="1508" t="n"/>
      <c r="AA126" s="1508" t="n"/>
      <c r="AB126" s="1508" t="n"/>
      <c r="AC126" s="1508" t="n"/>
      <c r="AD126" s="1508" t="n"/>
      <c r="AE126" s="1508" t="n"/>
      <c r="AF126" s="1508" t="n"/>
      <c r="AG126" s="1508" t="n"/>
      <c r="AH126" s="1508" t="n"/>
      <c r="AI126" s="1508" t="n"/>
      <c r="AJ126" s="1508" t="n"/>
      <c r="AK126" s="1508" t="n"/>
      <c r="AL126" s="1508" t="n"/>
      <c r="AM126" s="1508" t="n"/>
      <c r="AN126" s="1508" t="n"/>
      <c r="AO126" s="1508" t="n"/>
      <c r="AP126" s="1508" t="n"/>
      <c r="AQ126" s="1508" t="n"/>
      <c r="AR126" s="1508" t="n"/>
      <c r="AS126" s="1508" t="n"/>
      <c r="AT126" s="1508" t="n"/>
      <c r="AU126" s="1508" t="n"/>
      <c r="AV126" s="1508" t="n"/>
      <c r="AW126" s="1508" t="n"/>
      <c r="AX126" s="1508" t="n"/>
      <c r="AY126" s="1508" t="n"/>
      <c r="AZ126" s="1508" t="n"/>
      <c r="BA126" s="1508" t="n"/>
      <c r="BB126" s="1508" t="n"/>
      <c r="BC126" s="1508" t="n"/>
      <c r="BD126" s="1508" t="n"/>
      <c r="BE126" s="1508" t="n"/>
      <c r="BF126" s="1508" t="n"/>
      <c r="BG126" s="1508" t="n"/>
      <c r="BH126" s="1508" t="n"/>
      <c r="BI126" s="1508" t="n"/>
      <c r="BJ126" s="1508" t="n"/>
      <c r="BK126" s="1508" t="n"/>
      <c r="BL126" s="1508" t="n"/>
      <c r="BM126" s="1508" t="n"/>
      <c r="BN126" s="1508" t="n"/>
      <c r="BO126" s="1508" t="n"/>
      <c r="BP126" s="1508" t="n"/>
      <c r="BQ126" s="1508" t="n"/>
      <c r="BR126" s="1508" t="n"/>
      <c r="BS126" s="1508" t="n"/>
      <c r="BT126" s="1508" t="n"/>
      <c r="BU126" s="1508" t="n"/>
      <c r="BV126" s="1508" t="n"/>
      <c r="BW126" s="1508" t="n"/>
      <c r="BX126" s="1508" t="n"/>
      <c r="BY126" s="1508" t="n"/>
      <c r="BZ126" s="1508" t="n"/>
      <c r="CA126" s="1508" t="n"/>
      <c r="CB126" s="1508" t="n"/>
      <c r="CC126" s="1508" t="n"/>
      <c r="CD126" s="1508" t="n"/>
      <c r="CE126" s="1508" t="n"/>
      <c r="CF126" s="1508" t="n"/>
      <c r="CG126" s="1508" t="n"/>
      <c r="CH126" s="1508" t="n"/>
      <c r="CI126" s="1508" t="n"/>
      <c r="CJ126" s="1508" t="n"/>
      <c r="CK126" s="1508" t="n"/>
      <c r="CL126" s="1508" t="n"/>
      <c r="CM126" s="1508" t="n"/>
      <c r="CN126" s="1508" t="n"/>
      <c r="CO126" s="1508" t="n"/>
      <c r="CP126" s="1508" t="n"/>
      <c r="CQ126" s="1508" t="n"/>
      <c r="CR126" s="1508" t="n"/>
      <c r="CS126" s="1508" t="n"/>
      <c r="CT126" s="1508" t="n"/>
      <c r="CU126" s="1508" t="n"/>
      <c r="CV126" s="1508" t="n"/>
      <c r="CW126" s="1508" t="n"/>
      <c r="CX126" s="1508" t="n"/>
      <c r="CY126" s="1508" t="n"/>
      <c r="CZ126" s="1508" t="n"/>
      <c r="DA126" s="1508" t="n"/>
      <c r="DB126" s="1508" t="n"/>
      <c r="DC126" s="1508" t="n"/>
      <c r="DD126" s="1508" t="n"/>
      <c r="DE126" s="1508" t="n"/>
      <c r="DF126" s="1508" t="n"/>
      <c r="DG126" s="1508" t="n"/>
      <c r="DH126" s="1508" t="n"/>
      <c r="DI126" s="1508" t="n"/>
      <c r="DJ126" s="1508" t="n"/>
      <c r="DK126" s="1508" t="n"/>
      <c r="DL126" s="1508" t="n"/>
      <c r="DM126" s="1508" t="n"/>
      <c r="DN126" s="1508" t="n"/>
      <c r="DO126" s="1508" t="n"/>
      <c r="DP126" s="1508" t="n"/>
    </row>
    <row r="127">
      <c r="D127" s="1508" t="n"/>
      <c r="E127" s="1508" t="n"/>
      <c r="F127" s="1508" t="n"/>
      <c r="G127" s="1508" t="n"/>
      <c r="H127" s="1508" t="n"/>
      <c r="I127" s="1508" t="n"/>
      <c r="J127" s="1508" t="n"/>
      <c r="K127" s="1508" t="n"/>
      <c r="L127" s="1508" t="n"/>
      <c r="M127" s="1508" t="n"/>
      <c r="N127" s="1508" t="n"/>
      <c r="O127" s="1508" t="n"/>
      <c r="P127" s="1508" t="n"/>
      <c r="Q127" s="1508" t="n"/>
      <c r="R127" s="1508" t="n"/>
      <c r="S127" s="1508" t="n"/>
      <c r="T127" s="1508" t="n"/>
      <c r="U127" s="1508" t="n"/>
      <c r="V127" s="1508" t="n"/>
      <c r="W127" s="1508" t="n"/>
      <c r="X127" s="1508" t="n"/>
      <c r="Y127" s="1508" t="n"/>
      <c r="Z127" s="1508" t="n"/>
      <c r="AA127" s="1508" t="n"/>
      <c r="AB127" s="1508" t="n"/>
      <c r="AC127" s="1508" t="n"/>
      <c r="AD127" s="1508" t="n"/>
      <c r="AE127" s="1508" t="n"/>
      <c r="AF127" s="1508" t="n"/>
      <c r="AG127" s="1508" t="n"/>
      <c r="AH127" s="1508" t="n"/>
      <c r="AI127" s="1508" t="n"/>
      <c r="AJ127" s="1508" t="n"/>
      <c r="AK127" s="1508" t="n"/>
      <c r="AL127" s="1508" t="n"/>
      <c r="AM127" s="1508" t="n"/>
      <c r="AN127" s="1508" t="n"/>
      <c r="AO127" s="1508" t="n"/>
      <c r="AP127" s="1508" t="n"/>
      <c r="AQ127" s="1508" t="n"/>
      <c r="AR127" s="1508" t="n"/>
      <c r="AS127" s="1508" t="n"/>
      <c r="AT127" s="1508" t="n"/>
      <c r="AU127" s="1508" t="n"/>
      <c r="AV127" s="1508" t="n"/>
      <c r="AW127" s="1508" t="n"/>
      <c r="AX127" s="1508" t="n"/>
      <c r="AY127" s="1508" t="n"/>
      <c r="AZ127" s="1508" t="n"/>
      <c r="BA127" s="1508" t="n"/>
      <c r="BB127" s="1508" t="n"/>
      <c r="BC127" s="1508" t="n"/>
      <c r="BD127" s="1508" t="n"/>
      <c r="BE127" s="1508" t="n"/>
      <c r="BF127" s="1508" t="n"/>
      <c r="BG127" s="1508" t="n"/>
      <c r="BH127" s="1508" t="n"/>
      <c r="BI127" s="1508" t="n"/>
      <c r="BJ127" s="1508" t="n"/>
      <c r="BK127" s="1508" t="n"/>
      <c r="BL127" s="1508" t="n"/>
      <c r="BM127" s="1508" t="n"/>
      <c r="BN127" s="1508" t="n"/>
      <c r="BO127" s="1508" t="n"/>
      <c r="BP127" s="1508" t="n"/>
      <c r="BQ127" s="1508" t="n"/>
      <c r="BR127" s="1508" t="n"/>
      <c r="BS127" s="1508" t="n"/>
      <c r="BT127" s="1508" t="n"/>
      <c r="BU127" s="1508" t="n"/>
      <c r="BV127" s="1508" t="n"/>
      <c r="BW127" s="1508" t="n"/>
      <c r="BX127" s="1508" t="n"/>
      <c r="BY127" s="1508" t="n"/>
      <c r="BZ127" s="1508" t="n"/>
      <c r="CA127" s="1508" t="n"/>
      <c r="CB127" s="1508" t="n"/>
      <c r="CC127" s="1508" t="n"/>
      <c r="CD127" s="1508" t="n"/>
      <c r="CE127" s="1508" t="n"/>
      <c r="CF127" s="1508" t="n"/>
      <c r="CG127" s="1508" t="n"/>
      <c r="CH127" s="1508" t="n"/>
      <c r="CI127" s="1508" t="n"/>
      <c r="CJ127" s="1508" t="n"/>
      <c r="CK127" s="1508" t="n"/>
      <c r="CL127" s="1508" t="n"/>
      <c r="CM127" s="1508" t="n"/>
      <c r="CN127" s="1508" t="n"/>
      <c r="CO127" s="1508" t="n"/>
      <c r="CP127" s="1508" t="n"/>
      <c r="CQ127" s="1508" t="n"/>
      <c r="CR127" s="1508" t="n"/>
      <c r="CS127" s="1508" t="n"/>
      <c r="CT127" s="1508" t="n"/>
      <c r="CU127" s="1508" t="n"/>
      <c r="CV127" s="1508" t="n"/>
      <c r="CW127" s="1508" t="n"/>
      <c r="CX127" s="1508" t="n"/>
      <c r="CY127" s="1508" t="n"/>
      <c r="CZ127" s="1508" t="n"/>
      <c r="DA127" s="1508" t="n"/>
      <c r="DB127" s="1508" t="n"/>
      <c r="DC127" s="1508" t="n"/>
      <c r="DD127" s="1508" t="n"/>
      <c r="DE127" s="1508" t="n"/>
      <c r="DF127" s="1508" t="n"/>
      <c r="DG127" s="1508" t="n"/>
      <c r="DH127" s="1508" t="n"/>
      <c r="DI127" s="1508" t="n"/>
      <c r="DJ127" s="1508" t="n"/>
      <c r="DK127" s="1508" t="n"/>
      <c r="DL127" s="1508" t="n"/>
      <c r="DM127" s="1508" t="n"/>
      <c r="DN127" s="1508" t="n"/>
      <c r="DO127" s="1508" t="n"/>
      <c r="DP127" s="1508" t="n"/>
    </row>
    <row r="128">
      <c r="D128" s="1508" t="n"/>
      <c r="E128" s="1508" t="n"/>
      <c r="F128" s="1508" t="n"/>
      <c r="G128" s="1508" t="n"/>
      <c r="H128" s="1508" t="n"/>
      <c r="I128" s="1508" t="n"/>
      <c r="J128" s="1508" t="n"/>
      <c r="K128" s="1508" t="n"/>
      <c r="L128" s="1508" t="n"/>
      <c r="M128" s="1508" t="n"/>
      <c r="N128" s="1508" t="n"/>
      <c r="O128" s="1508" t="n"/>
      <c r="P128" s="1508" t="n"/>
      <c r="Q128" s="1508" t="n"/>
      <c r="R128" s="1508" t="n"/>
      <c r="S128" s="1508" t="n"/>
      <c r="T128" s="1508" t="n"/>
      <c r="U128" s="1508" t="n"/>
      <c r="V128" s="1508" t="n"/>
      <c r="W128" s="1508" t="n"/>
      <c r="X128" s="1508" t="n"/>
      <c r="Y128" s="1508" t="n"/>
      <c r="Z128" s="1508" t="n"/>
      <c r="AA128" s="1508" t="n"/>
      <c r="AB128" s="1508" t="n"/>
      <c r="AC128" s="1508" t="n"/>
      <c r="AD128" s="1508" t="n"/>
      <c r="AE128" s="1508" t="n"/>
      <c r="AF128" s="1508" t="n"/>
      <c r="AG128" s="1508" t="n"/>
      <c r="AH128" s="1508" t="n"/>
      <c r="AI128" s="1508" t="n"/>
      <c r="AJ128" s="1508" t="n"/>
      <c r="AK128" s="1508" t="n"/>
      <c r="AL128" s="1508" t="n"/>
      <c r="AM128" s="1508" t="n"/>
      <c r="AN128" s="1508" t="n"/>
      <c r="AO128" s="1508" t="n"/>
      <c r="AP128" s="1508" t="n"/>
      <c r="AQ128" s="1508" t="n"/>
      <c r="AR128" s="1508" t="n"/>
      <c r="AS128" s="1508" t="n"/>
      <c r="AT128" s="1508" t="n"/>
      <c r="AU128" s="1508" t="n"/>
      <c r="AV128" s="1508" t="n"/>
      <c r="AW128" s="1508" t="n"/>
      <c r="AX128" s="1508" t="n"/>
      <c r="AY128" s="1508" t="n"/>
      <c r="AZ128" s="1508" t="n"/>
      <c r="BA128" s="1508" t="n"/>
      <c r="BB128" s="1508" t="n"/>
      <c r="BC128" s="1508" t="n"/>
      <c r="BD128" s="1508" t="n"/>
      <c r="BE128" s="1508" t="n"/>
      <c r="BF128" s="1508" t="n"/>
      <c r="BG128" s="1508" t="n"/>
      <c r="BH128" s="1508" t="n"/>
      <c r="BI128" s="1508" t="n"/>
      <c r="BJ128" s="1508" t="n"/>
      <c r="BK128" s="1508" t="n"/>
      <c r="BL128" s="1508" t="n"/>
      <c r="BM128" s="1508" t="n"/>
      <c r="BN128" s="1508" t="n"/>
      <c r="BO128" s="1508" t="n"/>
      <c r="BP128" s="1508" t="n"/>
      <c r="BQ128" s="1508" t="n"/>
      <c r="BR128" s="1508" t="n"/>
      <c r="BS128" s="1508" t="n"/>
      <c r="BT128" s="1508" t="n"/>
      <c r="BU128" s="1508" t="n"/>
      <c r="BV128" s="1508" t="n"/>
      <c r="BW128" s="1508" t="n"/>
      <c r="BX128" s="1508" t="n"/>
      <c r="BY128" s="1508" t="n"/>
      <c r="BZ128" s="1508" t="n"/>
      <c r="CA128" s="1508" t="n"/>
      <c r="CB128" s="1508" t="n"/>
      <c r="CC128" s="1508" t="n"/>
      <c r="CD128" s="1508" t="n"/>
      <c r="CE128" s="1508" t="n"/>
      <c r="CF128" s="1508" t="n"/>
      <c r="CG128" s="1508" t="n"/>
      <c r="CH128" s="1508" t="n"/>
      <c r="CI128" s="1508" t="n"/>
      <c r="CJ128" s="1508" t="n"/>
      <c r="CK128" s="1508" t="n"/>
      <c r="CL128" s="1508" t="n"/>
      <c r="CM128" s="1508" t="n"/>
      <c r="CN128" s="1508" t="n"/>
      <c r="CO128" s="1508" t="n"/>
      <c r="CP128" s="1508" t="n"/>
      <c r="CQ128" s="1508" t="n"/>
      <c r="CR128" s="1508" t="n"/>
      <c r="CS128" s="1508" t="n"/>
      <c r="CT128" s="1508" t="n"/>
      <c r="CU128" s="1508" t="n"/>
      <c r="CV128" s="1508" t="n"/>
      <c r="CW128" s="1508" t="n"/>
      <c r="CX128" s="1508" t="n"/>
      <c r="CY128" s="1508" t="n"/>
      <c r="CZ128" s="1508" t="n"/>
      <c r="DA128" s="1508" t="n"/>
      <c r="DB128" s="1508" t="n"/>
      <c r="DC128" s="1508" t="n"/>
      <c r="DD128" s="1508" t="n"/>
      <c r="DE128" s="1508" t="n"/>
      <c r="DF128" s="1508" t="n"/>
      <c r="DG128" s="1508" t="n"/>
      <c r="DH128" s="1508" t="n"/>
      <c r="DI128" s="1508" t="n"/>
      <c r="DJ128" s="1508" t="n"/>
      <c r="DK128" s="1508" t="n"/>
      <c r="DL128" s="1508" t="n"/>
      <c r="DM128" s="1508" t="n"/>
      <c r="DN128" s="1508" t="n"/>
      <c r="DO128" s="1508" t="n"/>
      <c r="DP128" s="1508" t="n"/>
    </row>
    <row r="129">
      <c r="D129" s="1508" t="n"/>
      <c r="E129" s="1508" t="n"/>
      <c r="F129" s="1508" t="n"/>
      <c r="G129" s="1508" t="n"/>
      <c r="H129" s="1508" t="n"/>
      <c r="I129" s="1508" t="n"/>
      <c r="J129" s="1508" t="n"/>
      <c r="K129" s="1508" t="n"/>
      <c r="L129" s="1508" t="n"/>
      <c r="M129" s="1508" t="n"/>
      <c r="N129" s="1508" t="n"/>
      <c r="O129" s="1508" t="n"/>
      <c r="P129" s="1508" t="n"/>
      <c r="Q129" s="1508" t="n"/>
      <c r="R129" s="1508" t="n"/>
      <c r="S129" s="1508" t="n"/>
      <c r="T129" s="1508" t="n"/>
      <c r="U129" s="1508" t="n"/>
      <c r="V129" s="1508" t="n"/>
      <c r="W129" s="1508" t="n"/>
      <c r="X129" s="1508" t="n"/>
      <c r="Y129" s="1508" t="n"/>
      <c r="Z129" s="1508" t="n"/>
      <c r="AA129" s="1508" t="n"/>
      <c r="AB129" s="1508" t="n"/>
      <c r="AC129" s="1508" t="n"/>
      <c r="AD129" s="1508" t="n"/>
      <c r="AE129" s="1508" t="n"/>
      <c r="AF129" s="1508" t="n"/>
      <c r="AG129" s="1508" t="n"/>
      <c r="AH129" s="1508" t="n"/>
      <c r="AI129" s="1508" t="n"/>
      <c r="AJ129" s="1508" t="n"/>
      <c r="AK129" s="1508" t="n"/>
      <c r="AL129" s="1508" t="n"/>
      <c r="AM129" s="1508" t="n"/>
      <c r="AN129" s="1508" t="n"/>
      <c r="AO129" s="1508" t="n"/>
      <c r="AP129" s="1508" t="n"/>
      <c r="AQ129" s="1508" t="n"/>
      <c r="AR129" s="1508" t="n"/>
      <c r="AS129" s="1508" t="n"/>
      <c r="AT129" s="1508" t="n"/>
      <c r="AU129" s="1508" t="n"/>
      <c r="AV129" s="1508" t="n"/>
      <c r="AW129" s="1508" t="n"/>
      <c r="AX129" s="1508" t="n"/>
      <c r="AY129" s="1508" t="n"/>
      <c r="AZ129" s="1508" t="n"/>
      <c r="BA129" s="1508" t="n"/>
      <c r="BB129" s="1508" t="n"/>
      <c r="BC129" s="1508" t="n"/>
      <c r="BD129" s="1508" t="n"/>
      <c r="BE129" s="1508" t="n"/>
      <c r="BF129" s="1508" t="n"/>
      <c r="BG129" s="1508" t="n"/>
      <c r="BH129" s="1508" t="n"/>
      <c r="BI129" s="1508" t="n"/>
      <c r="BJ129" s="1508" t="n"/>
      <c r="BK129" s="1508" t="n"/>
      <c r="BL129" s="1508" t="n"/>
      <c r="BM129" s="1508" t="n"/>
      <c r="BN129" s="1508" t="n"/>
      <c r="BO129" s="1508" t="n"/>
      <c r="BP129" s="1508" t="n"/>
      <c r="BQ129" s="1508" t="n"/>
      <c r="BR129" s="1508" t="n"/>
      <c r="BS129" s="1508" t="n"/>
      <c r="BT129" s="1508" t="n"/>
      <c r="BU129" s="1508" t="n"/>
      <c r="BV129" s="1508" t="n"/>
      <c r="BW129" s="1508" t="n"/>
      <c r="BX129" s="1508" t="n"/>
      <c r="BY129" s="1508" t="n"/>
      <c r="BZ129" s="1508" t="n"/>
      <c r="CA129" s="1508" t="n"/>
      <c r="CB129" s="1508" t="n"/>
      <c r="CC129" s="1508" t="n"/>
      <c r="CD129" s="1508" t="n"/>
      <c r="CE129" s="1508" t="n"/>
      <c r="CF129" s="1508" t="n"/>
      <c r="CG129" s="1508" t="n"/>
      <c r="CH129" s="1508" t="n"/>
      <c r="CI129" s="1508" t="n"/>
      <c r="CJ129" s="1508" t="n"/>
      <c r="CK129" s="1508" t="n"/>
      <c r="CL129" s="1508" t="n"/>
      <c r="CM129" s="1508" t="n"/>
      <c r="CN129" s="1508" t="n"/>
      <c r="CO129" s="1508" t="n"/>
      <c r="CP129" s="1508" t="n"/>
      <c r="CQ129" s="1508" t="n"/>
      <c r="CR129" s="1508" t="n"/>
      <c r="CS129" s="1508" t="n"/>
      <c r="CT129" s="1508" t="n"/>
      <c r="CU129" s="1508" t="n"/>
      <c r="CV129" s="1508" t="n"/>
      <c r="CW129" s="1508" t="n"/>
      <c r="CX129" s="1508" t="n"/>
      <c r="CY129" s="1508" t="n"/>
      <c r="CZ129" s="1508" t="n"/>
      <c r="DA129" s="1508" t="n"/>
      <c r="DB129" s="1508" t="n"/>
      <c r="DC129" s="1508" t="n"/>
      <c r="DD129" s="1508" t="n"/>
      <c r="DE129" s="1508" t="n"/>
      <c r="DF129" s="1508" t="n"/>
      <c r="DG129" s="1508" t="n"/>
      <c r="DH129" s="1508" t="n"/>
      <c r="DI129" s="1508" t="n"/>
      <c r="DJ129" s="1508" t="n"/>
      <c r="DK129" s="1508" t="n"/>
      <c r="DL129" s="1508" t="n"/>
      <c r="DM129" s="1508" t="n"/>
      <c r="DN129" s="1508" t="n"/>
      <c r="DO129" s="1508" t="n"/>
      <c r="DP129" s="1508" t="n"/>
    </row>
    <row r="130">
      <c r="D130" s="1508" t="n"/>
      <c r="E130" s="1508" t="n"/>
      <c r="F130" s="1508" t="n"/>
      <c r="G130" s="1508" t="n"/>
      <c r="H130" s="1508" t="n"/>
      <c r="I130" s="1508" t="n"/>
      <c r="J130" s="1508" t="n"/>
      <c r="K130" s="1508" t="n"/>
      <c r="L130" s="1508" t="n"/>
      <c r="M130" s="1508" t="n"/>
      <c r="N130" s="1508" t="n"/>
      <c r="O130" s="1508" t="n"/>
      <c r="P130" s="1508" t="n"/>
      <c r="Q130" s="1508" t="n"/>
      <c r="R130" s="1508" t="n"/>
      <c r="S130" s="1508" t="n"/>
      <c r="T130" s="1508" t="n"/>
      <c r="U130" s="1508" t="n"/>
      <c r="V130" s="1508" t="n"/>
      <c r="W130" s="1508" t="n"/>
      <c r="X130" s="1508" t="n"/>
      <c r="Y130" s="1508" t="n"/>
      <c r="Z130" s="1508" t="n"/>
      <c r="AA130" s="1508" t="n"/>
      <c r="AB130" s="1508" t="n"/>
      <c r="AC130" s="1508" t="n"/>
      <c r="AD130" s="1508" t="n"/>
      <c r="AE130" s="1508" t="n"/>
      <c r="AF130" s="1508" t="n"/>
      <c r="AG130" s="1508" t="n"/>
      <c r="AH130" s="1508" t="n"/>
      <c r="AI130" s="1508" t="n"/>
      <c r="AJ130" s="1508" t="n"/>
      <c r="AK130" s="1508" t="n"/>
      <c r="AL130" s="1508" t="n"/>
      <c r="AM130" s="1508" t="n"/>
      <c r="AN130" s="1508" t="n"/>
      <c r="AO130" s="1508" t="n"/>
      <c r="AP130" s="1508" t="n"/>
      <c r="AQ130" s="1508" t="n"/>
      <c r="AR130" s="1508" t="n"/>
      <c r="AS130" s="1508" t="n"/>
      <c r="AT130" s="1508" t="n"/>
      <c r="AU130" s="1508" t="n"/>
      <c r="AV130" s="1508" t="n"/>
      <c r="AW130" s="1508" t="n"/>
      <c r="AX130" s="1508" t="n"/>
      <c r="AY130" s="1508" t="n"/>
      <c r="AZ130" s="1508" t="n"/>
      <c r="BA130" s="1508" t="n"/>
      <c r="BB130" s="1508" t="n"/>
      <c r="BC130" s="1508" t="n"/>
      <c r="BD130" s="1508" t="n"/>
      <c r="BE130" s="1508" t="n"/>
      <c r="BF130" s="1508" t="n"/>
      <c r="BG130" s="1508" t="n"/>
      <c r="BH130" s="1508" t="n"/>
      <c r="BI130" s="1508" t="n"/>
      <c r="BJ130" s="1508" t="n"/>
      <c r="BK130" s="1508" t="n"/>
      <c r="BL130" s="1508" t="n"/>
      <c r="BM130" s="1508" t="n"/>
      <c r="BN130" s="1508" t="n"/>
      <c r="BO130" s="1508" t="n"/>
      <c r="BP130" s="1508" t="n"/>
      <c r="BQ130" s="1508" t="n"/>
      <c r="BR130" s="1508" t="n"/>
      <c r="BS130" s="1508" t="n"/>
      <c r="BT130" s="1508" t="n"/>
      <c r="BU130" s="1508" t="n"/>
      <c r="BV130" s="1508" t="n"/>
      <c r="BW130" s="1508" t="n"/>
      <c r="BX130" s="1508" t="n"/>
      <c r="BY130" s="1508" t="n"/>
      <c r="BZ130" s="1508" t="n"/>
      <c r="CA130" s="1508" t="n"/>
      <c r="CB130" s="1508" t="n"/>
      <c r="CC130" s="1508" t="n"/>
      <c r="CD130" s="1508" t="n"/>
      <c r="CE130" s="1508" t="n"/>
      <c r="CF130" s="1508" t="n"/>
      <c r="CG130" s="1508" t="n"/>
      <c r="CH130" s="1508" t="n"/>
      <c r="CI130" s="1508" t="n"/>
      <c r="CJ130" s="1508" t="n"/>
      <c r="CK130" s="1508" t="n"/>
      <c r="CL130" s="1508" t="n"/>
      <c r="CM130" s="1508" t="n"/>
      <c r="CN130" s="1508" t="n"/>
      <c r="CO130" s="1508" t="n"/>
      <c r="CP130" s="1508" t="n"/>
      <c r="CQ130" s="1508" t="n"/>
      <c r="CR130" s="1508" t="n"/>
      <c r="CS130" s="1508" t="n"/>
      <c r="CT130" s="1508" t="n"/>
      <c r="CU130" s="1508" t="n"/>
      <c r="CV130" s="1508" t="n"/>
      <c r="CW130" s="1508" t="n"/>
      <c r="CX130" s="1508" t="n"/>
      <c r="CY130" s="1508" t="n"/>
      <c r="CZ130" s="1508" t="n"/>
      <c r="DA130" s="1508" t="n"/>
      <c r="DB130" s="1508" t="n"/>
      <c r="DC130" s="1508" t="n"/>
      <c r="DD130" s="1508" t="n"/>
      <c r="DE130" s="1508" t="n"/>
      <c r="DF130" s="1508" t="n"/>
      <c r="DG130" s="1508" t="n"/>
      <c r="DH130" s="1508" t="n"/>
      <c r="DI130" s="1508" t="n"/>
      <c r="DJ130" s="1508" t="n"/>
      <c r="DK130" s="1508" t="n"/>
      <c r="DL130" s="1508" t="n"/>
      <c r="DM130" s="1508" t="n"/>
      <c r="DN130" s="1508" t="n"/>
      <c r="DO130" s="1508" t="n"/>
      <c r="DP130" s="1508" t="n"/>
    </row>
    <row r="131">
      <c r="D131" s="1508" t="n"/>
      <c r="E131" s="1508" t="n"/>
      <c r="F131" s="1508" t="n"/>
      <c r="G131" s="1508" t="n"/>
      <c r="H131" s="1508" t="n"/>
      <c r="I131" s="1508" t="n"/>
      <c r="J131" s="1508" t="n"/>
      <c r="K131" s="1508" t="n"/>
      <c r="L131" s="1508" t="n"/>
      <c r="M131" s="1508" t="n"/>
      <c r="N131" s="1508" t="n"/>
      <c r="O131" s="1508" t="n"/>
      <c r="P131" s="1508" t="n"/>
      <c r="Q131" s="1508" t="n"/>
      <c r="R131" s="1508" t="n"/>
      <c r="S131" s="1508" t="n"/>
      <c r="T131" s="1508" t="n"/>
      <c r="U131" s="1508" t="n"/>
      <c r="V131" s="1508" t="n"/>
      <c r="W131" s="1508" t="n"/>
      <c r="X131" s="1508" t="n"/>
      <c r="Y131" s="1508" t="n"/>
      <c r="Z131" s="1508" t="n"/>
      <c r="AA131" s="1508" t="n"/>
      <c r="AB131" s="1508" t="n"/>
      <c r="AC131" s="1508" t="n"/>
      <c r="AD131" s="1508" t="n"/>
      <c r="AE131" s="1508" t="n"/>
      <c r="AF131" s="1508" t="n"/>
      <c r="AG131" s="1508" t="n"/>
      <c r="AH131" s="1508" t="n"/>
      <c r="AI131" s="1508" t="n"/>
      <c r="AJ131" s="1508" t="n"/>
      <c r="AK131" s="1508" t="n"/>
      <c r="AL131" s="1508" t="n"/>
      <c r="AM131" s="1508" t="n"/>
      <c r="AN131" s="1508" t="n"/>
      <c r="AO131" s="1508" t="n"/>
      <c r="AP131" s="1508" t="n"/>
      <c r="AQ131" s="1508" t="n"/>
      <c r="AR131" s="1508" t="n"/>
      <c r="AS131" s="1508" t="n"/>
      <c r="AT131" s="1508" t="n"/>
      <c r="AU131" s="1508" t="n"/>
      <c r="AV131" s="1508" t="n"/>
      <c r="AW131" s="1508" t="n"/>
      <c r="AX131" s="1508" t="n"/>
      <c r="AY131" s="1508" t="n"/>
      <c r="AZ131" s="1508" t="n"/>
      <c r="BA131" s="1508" t="n"/>
      <c r="BB131" s="1508" t="n"/>
      <c r="BC131" s="1508" t="n"/>
      <c r="BD131" s="1508" t="n"/>
      <c r="BE131" s="1508" t="n"/>
      <c r="BF131" s="1508" t="n"/>
      <c r="BG131" s="1508" t="n"/>
      <c r="BH131" s="1508" t="n"/>
      <c r="BI131" s="1508" t="n"/>
      <c r="BJ131" s="1508" t="n"/>
      <c r="BK131" s="1508" t="n"/>
      <c r="BL131" s="1508" t="n"/>
      <c r="BM131" s="1508" t="n"/>
      <c r="BN131" s="1508" t="n"/>
      <c r="BO131" s="1508" t="n"/>
      <c r="BP131" s="1508" t="n"/>
      <c r="BQ131" s="1508" t="n"/>
      <c r="BR131" s="1508" t="n"/>
      <c r="BS131" s="1508" t="n"/>
      <c r="BT131" s="1508" t="n"/>
      <c r="BU131" s="1508" t="n"/>
      <c r="BV131" s="1508" t="n"/>
      <c r="BW131" s="1508" t="n"/>
      <c r="BX131" s="1508" t="n"/>
      <c r="BY131" s="1508" t="n"/>
      <c r="BZ131" s="1508" t="n"/>
      <c r="CA131" s="1508" t="n"/>
      <c r="CB131" s="1508" t="n"/>
      <c r="CC131" s="1508" t="n"/>
      <c r="CD131" s="1508" t="n"/>
      <c r="CE131" s="1508" t="n"/>
      <c r="CF131" s="1508" t="n"/>
      <c r="CG131" s="1508" t="n"/>
      <c r="CH131" s="1508" t="n"/>
      <c r="CI131" s="1508" t="n"/>
      <c r="CJ131" s="1508" t="n"/>
      <c r="CK131" s="1508" t="n"/>
      <c r="CL131" s="1508" t="n"/>
      <c r="CM131" s="1508" t="n"/>
      <c r="CN131" s="1508" t="n"/>
      <c r="CO131" s="1508" t="n"/>
      <c r="CP131" s="1508" t="n"/>
      <c r="CQ131" s="1508" t="n"/>
      <c r="CR131" s="1508" t="n"/>
      <c r="CS131" s="1508" t="n"/>
      <c r="CT131" s="1508" t="n"/>
      <c r="CU131" s="1508" t="n"/>
      <c r="CV131" s="1508" t="n"/>
      <c r="CW131" s="1508" t="n"/>
      <c r="CX131" s="1508" t="n"/>
      <c r="CY131" s="1508" t="n"/>
      <c r="CZ131" s="1508" t="n"/>
      <c r="DA131" s="1508" t="n"/>
      <c r="DB131" s="1508" t="n"/>
      <c r="DC131" s="1508" t="n"/>
      <c r="DD131" s="1508" t="n"/>
      <c r="DE131" s="1508" t="n"/>
      <c r="DF131" s="1508" t="n"/>
      <c r="DG131" s="1508" t="n"/>
      <c r="DH131" s="1508" t="n"/>
      <c r="DI131" s="1508" t="n"/>
      <c r="DJ131" s="1508" t="n"/>
      <c r="DK131" s="1508" t="n"/>
      <c r="DL131" s="1508" t="n"/>
      <c r="DM131" s="1508" t="n"/>
      <c r="DN131" s="1508" t="n"/>
      <c r="DO131" s="1508" t="n"/>
      <c r="DP131" s="1508" t="n"/>
    </row>
    <row r="132">
      <c r="D132" s="1508" t="n"/>
      <c r="E132" s="1508" t="n"/>
      <c r="F132" s="1508" t="n"/>
      <c r="G132" s="1508" t="n"/>
      <c r="H132" s="1508" t="n"/>
      <c r="I132" s="1508" t="n"/>
      <c r="J132" s="1508" t="n"/>
      <c r="K132" s="1508" t="n"/>
      <c r="L132" s="1508" t="n"/>
      <c r="M132" s="1508" t="n"/>
      <c r="N132" s="1508" t="n"/>
      <c r="O132" s="1508" t="n"/>
      <c r="P132" s="1508" t="n"/>
      <c r="Q132" s="1508" t="n"/>
      <c r="R132" s="1508" t="n"/>
      <c r="S132" s="1508" t="n"/>
      <c r="T132" s="1508" t="n"/>
      <c r="U132" s="1508" t="n"/>
      <c r="V132" s="1508" t="n"/>
      <c r="W132" s="1508" t="n"/>
      <c r="X132" s="1508" t="n"/>
      <c r="Y132" s="1508" t="n"/>
      <c r="Z132" s="1508" t="n"/>
      <c r="AA132" s="1508" t="n"/>
      <c r="AB132" s="1508" t="n"/>
      <c r="AC132" s="1508" t="n"/>
      <c r="AD132" s="1508" t="n"/>
      <c r="AE132" s="1508" t="n"/>
      <c r="AF132" s="1508" t="n"/>
      <c r="AG132" s="1508" t="n"/>
      <c r="AH132" s="1508" t="n"/>
      <c r="AI132" s="1508" t="n"/>
      <c r="AJ132" s="1508" t="n"/>
      <c r="AK132" s="1508" t="n"/>
      <c r="AL132" s="1508" t="n"/>
      <c r="AM132" s="1508" t="n"/>
      <c r="AN132" s="1508" t="n"/>
      <c r="AO132" s="1508" t="n"/>
      <c r="AP132" s="1508" t="n"/>
      <c r="AQ132" s="1508" t="n"/>
      <c r="AR132" s="1508" t="n"/>
      <c r="AS132" s="1508" t="n"/>
      <c r="AT132" s="1508" t="n"/>
      <c r="AU132" s="1508" t="n"/>
      <c r="AV132" s="1508" t="n"/>
      <c r="AW132" s="1508" t="n"/>
      <c r="AX132" s="1508" t="n"/>
      <c r="AY132" s="1508" t="n"/>
      <c r="AZ132" s="1508" t="n"/>
      <c r="BA132" s="1508" t="n"/>
      <c r="BB132" s="1508" t="n"/>
      <c r="BC132" s="1508" t="n"/>
      <c r="BD132" s="1508" t="n"/>
      <c r="BE132" s="1508" t="n"/>
      <c r="BF132" s="1508" t="n"/>
      <c r="BG132" s="1508" t="n"/>
      <c r="BH132" s="1508" t="n"/>
      <c r="BI132" s="1508" t="n"/>
      <c r="BJ132" s="1508" t="n"/>
      <c r="BK132" s="1508" t="n"/>
      <c r="BL132" s="1508" t="n"/>
      <c r="BM132" s="1508" t="n"/>
      <c r="BN132" s="1508" t="n"/>
      <c r="BO132" s="1508" t="n"/>
      <c r="BP132" s="1508" t="n"/>
      <c r="BQ132" s="1508" t="n"/>
      <c r="BR132" s="1508" t="n"/>
      <c r="BS132" s="1508" t="n"/>
      <c r="BT132" s="1508" t="n"/>
      <c r="BU132" s="1508" t="n"/>
      <c r="BV132" s="1508" t="n"/>
      <c r="BW132" s="1508" t="n"/>
      <c r="BX132" s="1508" t="n"/>
      <c r="BY132" s="1508" t="n"/>
      <c r="BZ132" s="1508" t="n"/>
      <c r="CA132" s="1508" t="n"/>
      <c r="CB132" s="1508" t="n"/>
      <c r="CC132" s="1508" t="n"/>
      <c r="CD132" s="1508" t="n"/>
      <c r="CE132" s="1508" t="n"/>
      <c r="CF132" s="1508" t="n"/>
      <c r="CG132" s="1508" t="n"/>
      <c r="CH132" s="1508" t="n"/>
      <c r="CI132" s="1508" t="n"/>
      <c r="CJ132" s="1508" t="n"/>
      <c r="CK132" s="1508" t="n"/>
      <c r="CL132" s="1508" t="n"/>
      <c r="CM132" s="1508" t="n"/>
      <c r="CN132" s="1508" t="n"/>
      <c r="CO132" s="1508" t="n"/>
      <c r="CP132" s="1508" t="n"/>
      <c r="CQ132" s="1508" t="n"/>
      <c r="CR132" s="1508" t="n"/>
      <c r="CS132" s="1508" t="n"/>
      <c r="CT132" s="1508" t="n"/>
      <c r="CU132" s="1508" t="n"/>
      <c r="CV132" s="1508" t="n"/>
      <c r="CW132" s="1508" t="n"/>
      <c r="CX132" s="1508" t="n"/>
      <c r="CY132" s="1508" t="n"/>
      <c r="CZ132" s="1508" t="n"/>
      <c r="DA132" s="1508" t="n"/>
      <c r="DB132" s="1508" t="n"/>
      <c r="DC132" s="1508" t="n"/>
      <c r="DD132" s="1508" t="n"/>
      <c r="DE132" s="1508" t="n"/>
      <c r="DF132" s="1508" t="n"/>
      <c r="DG132" s="1508" t="n"/>
      <c r="DH132" s="1508" t="n"/>
      <c r="DI132" s="1508" t="n"/>
      <c r="DJ132" s="1508" t="n"/>
      <c r="DK132" s="1508" t="n"/>
      <c r="DL132" s="1508" t="n"/>
      <c r="DM132" s="1508" t="n"/>
      <c r="DN132" s="1508" t="n"/>
      <c r="DO132" s="1508" t="n"/>
      <c r="DP132" s="1508" t="n"/>
    </row>
    <row r="133">
      <c r="D133" s="1508" t="n"/>
      <c r="E133" s="1508" t="n"/>
      <c r="F133" s="1508" t="n"/>
      <c r="G133" s="1508" t="n"/>
      <c r="H133" s="1508" t="n"/>
      <c r="I133" s="1508" t="n"/>
      <c r="J133" s="1508" t="n"/>
      <c r="K133" s="1508" t="n"/>
      <c r="L133" s="1508" t="n"/>
      <c r="M133" s="1508" t="n"/>
      <c r="N133" s="1508" t="n"/>
      <c r="O133" s="1508" t="n"/>
      <c r="P133" s="1508" t="n"/>
      <c r="Q133" s="1508" t="n"/>
      <c r="R133" s="1508" t="n"/>
      <c r="S133" s="1508" t="n"/>
      <c r="T133" s="1508" t="n"/>
      <c r="U133" s="1508" t="n"/>
      <c r="V133" s="1508" t="n"/>
      <c r="W133" s="1508" t="n"/>
      <c r="X133" s="1508" t="n"/>
      <c r="Y133" s="1508" t="n"/>
      <c r="Z133" s="1508" t="n"/>
      <c r="AA133" s="1508" t="n"/>
      <c r="AB133" s="1508" t="n"/>
      <c r="AC133" s="1508" t="n"/>
      <c r="AD133" s="1508" t="n"/>
      <c r="AE133" s="1508" t="n"/>
      <c r="AF133" s="1508" t="n"/>
      <c r="AG133" s="1508" t="n"/>
      <c r="AH133" s="1508" t="n"/>
      <c r="AI133" s="1508" t="n"/>
      <c r="AJ133" s="1508" t="n"/>
      <c r="AK133" s="1508" t="n"/>
      <c r="AL133" s="1508" t="n"/>
      <c r="AM133" s="1508" t="n"/>
      <c r="AN133" s="1508" t="n"/>
      <c r="AO133" s="1508" t="n"/>
      <c r="AP133" s="1508" t="n"/>
      <c r="AQ133" s="1508" t="n"/>
      <c r="AR133" s="1508" t="n"/>
      <c r="AS133" s="1508" t="n"/>
      <c r="AT133" s="1508" t="n"/>
      <c r="AU133" s="1508" t="n"/>
      <c r="AV133" s="1508" t="n"/>
      <c r="AW133" s="1508" t="n"/>
      <c r="AX133" s="1508" t="n"/>
      <c r="AY133" s="1508" t="n"/>
      <c r="AZ133" s="1508" t="n"/>
      <c r="BA133" s="1508" t="n"/>
      <c r="BB133" s="1508" t="n"/>
      <c r="BC133" s="1508" t="n"/>
      <c r="BD133" s="1508" t="n"/>
      <c r="BE133" s="1508" t="n"/>
      <c r="BF133" s="1508" t="n"/>
      <c r="BG133" s="1508" t="n"/>
      <c r="BH133" s="1508" t="n"/>
      <c r="BI133" s="1508" t="n"/>
      <c r="BJ133" s="1508" t="n"/>
      <c r="BK133" s="1508" t="n"/>
      <c r="BL133" s="1508" t="n"/>
      <c r="BM133" s="1508" t="n"/>
      <c r="BN133" s="1508" t="n"/>
      <c r="BO133" s="1508" t="n"/>
      <c r="BP133" s="1508" t="n"/>
      <c r="BQ133" s="1508" t="n"/>
      <c r="BR133" s="1508" t="n"/>
      <c r="BS133" s="1508" t="n"/>
      <c r="BT133" s="1508" t="n"/>
      <c r="BU133" s="1508" t="n"/>
      <c r="BV133" s="1508" t="n"/>
      <c r="BW133" s="1508" t="n"/>
      <c r="BX133" s="1508" t="n"/>
      <c r="BY133" s="1508" t="n"/>
      <c r="BZ133" s="1508" t="n"/>
      <c r="CA133" s="1508" t="n"/>
      <c r="CB133" s="1508" t="n"/>
      <c r="CC133" s="1508" t="n"/>
      <c r="CD133" s="1508" t="n"/>
      <c r="CE133" s="1508" t="n"/>
      <c r="CF133" s="1508" t="n"/>
      <c r="CG133" s="1508" t="n"/>
      <c r="CH133" s="1508" t="n"/>
      <c r="CI133" s="1508" t="n"/>
      <c r="CJ133" s="1508" t="n"/>
      <c r="CK133" s="1508" t="n"/>
      <c r="CL133" s="1508" t="n"/>
      <c r="CM133" s="1508" t="n"/>
      <c r="CN133" s="1508" t="n"/>
      <c r="CO133" s="1508" t="n"/>
      <c r="CP133" s="1508" t="n"/>
      <c r="CQ133" s="1508" t="n"/>
      <c r="CR133" s="1508" t="n"/>
      <c r="CS133" s="1508" t="n"/>
      <c r="CT133" s="1508" t="n"/>
      <c r="CU133" s="1508" t="n"/>
      <c r="CV133" s="1508" t="n"/>
      <c r="CW133" s="1508" t="n"/>
      <c r="CX133" s="1508" t="n"/>
      <c r="CY133" s="1508" t="n"/>
      <c r="CZ133" s="1508" t="n"/>
      <c r="DA133" s="1508" t="n"/>
      <c r="DB133" s="1508" t="n"/>
      <c r="DC133" s="1508" t="n"/>
      <c r="DD133" s="1508" t="n"/>
      <c r="DE133" s="1508" t="n"/>
      <c r="DF133" s="1508" t="n"/>
      <c r="DG133" s="1508" t="n"/>
      <c r="DH133" s="1508" t="n"/>
      <c r="DI133" s="1508" t="n"/>
      <c r="DJ133" s="1508" t="n"/>
      <c r="DK133" s="1508" t="n"/>
      <c r="DL133" s="1508" t="n"/>
      <c r="DM133" s="1508" t="n"/>
      <c r="DN133" s="1508" t="n"/>
      <c r="DO133" s="1508" t="n"/>
      <c r="DP133" s="1508" t="n"/>
    </row>
    <row r="134"/>
    <row r="135">
      <c r="D135" s="1508" t="n"/>
      <c r="E135" s="1508" t="n"/>
      <c r="F135" s="1508" t="n"/>
      <c r="G135" s="1508" t="n"/>
      <c r="H135" s="1508" t="n"/>
      <c r="I135" s="1508" t="n"/>
      <c r="J135" s="1508" t="n"/>
      <c r="K135" s="1508" t="n"/>
      <c r="L135" s="1508" t="n"/>
      <c r="M135" s="1508" t="n"/>
      <c r="N135" s="1508" t="n"/>
      <c r="O135" s="1508" t="n"/>
      <c r="P135" s="1508" t="n"/>
      <c r="Q135" s="1508" t="n"/>
      <c r="R135" s="1508" t="n"/>
      <c r="S135" s="1508" t="n"/>
      <c r="T135" s="1508" t="n"/>
      <c r="U135" s="1508" t="n"/>
      <c r="V135" s="1508" t="n"/>
      <c r="W135" s="1508" t="n"/>
      <c r="X135" s="1508" t="n"/>
      <c r="Y135" s="1508" t="n"/>
      <c r="Z135" s="1508" t="n"/>
      <c r="AA135" s="1508" t="n"/>
      <c r="AB135" s="1508" t="n"/>
      <c r="AC135" s="1508" t="n"/>
      <c r="AD135" s="1508" t="n"/>
      <c r="AE135" s="1508" t="n"/>
      <c r="AF135" s="1508" t="n"/>
      <c r="AG135" s="1508" t="n"/>
      <c r="AH135" s="1508" t="n"/>
      <c r="AI135" s="1508" t="n"/>
      <c r="AJ135" s="1508" t="n"/>
      <c r="AK135" s="1508" t="n"/>
      <c r="AL135" s="1508" t="n"/>
      <c r="AM135" s="1508" t="n"/>
      <c r="AN135" s="1508" t="n"/>
      <c r="AO135" s="1508" t="n"/>
      <c r="AP135" s="1508" t="n"/>
      <c r="AQ135" s="1508" t="n"/>
      <c r="AR135" s="1508" t="n"/>
      <c r="AS135" s="1508" t="n"/>
      <c r="AT135" s="1508" t="n"/>
      <c r="AU135" s="1508" t="n"/>
      <c r="AV135" s="1508" t="n"/>
      <c r="AW135" s="1508" t="n"/>
      <c r="AX135" s="1508" t="n"/>
      <c r="AY135" s="1508" t="n"/>
      <c r="AZ135" s="1508" t="n"/>
      <c r="BA135" s="1508" t="n"/>
      <c r="BB135" s="1508" t="n"/>
      <c r="BC135" s="1508" t="n"/>
      <c r="BD135" s="1508" t="n"/>
      <c r="BE135" s="1508" t="n"/>
      <c r="BF135" s="1508" t="n"/>
      <c r="BG135" s="1508" t="n"/>
      <c r="BH135" s="1508" t="n"/>
      <c r="BI135" s="1508" t="n"/>
      <c r="BJ135" s="1508" t="n"/>
      <c r="BK135" s="1508" t="n"/>
      <c r="BL135" s="1508" t="n"/>
      <c r="BM135" s="1508" t="n"/>
      <c r="BN135" s="1508" t="n"/>
      <c r="BO135" s="1508" t="n"/>
      <c r="BP135" s="1508" t="n"/>
      <c r="BQ135" s="1508" t="n"/>
      <c r="BR135" s="1508" t="n"/>
      <c r="BS135" s="1508" t="n"/>
      <c r="BT135" s="1508" t="n"/>
      <c r="BU135" s="1508" t="n"/>
      <c r="BV135" s="1508" t="n"/>
      <c r="BW135" s="1508" t="n"/>
      <c r="BX135" s="1508" t="n"/>
      <c r="BY135" s="1508" t="n"/>
      <c r="BZ135" s="1508" t="n"/>
      <c r="CA135" s="1508" t="n"/>
      <c r="CB135" s="1508" t="n"/>
      <c r="CC135" s="1508" t="n"/>
      <c r="CD135" s="1508" t="n"/>
      <c r="CE135" s="1508" t="n"/>
      <c r="CF135" s="1508" t="n"/>
      <c r="CG135" s="1508" t="n"/>
      <c r="CH135" s="1508" t="n"/>
      <c r="CI135" s="1508" t="n"/>
      <c r="CJ135" s="1508" t="n"/>
      <c r="CK135" s="1508" t="n"/>
      <c r="CL135" s="1508" t="n"/>
      <c r="CM135" s="1508" t="n"/>
      <c r="CN135" s="1508" t="n"/>
      <c r="CO135" s="1508" t="n"/>
      <c r="CP135" s="1508" t="n"/>
      <c r="CQ135" s="1508" t="n"/>
      <c r="CR135" s="1508" t="n"/>
      <c r="CS135" s="1508" t="n"/>
      <c r="CT135" s="1508" t="n"/>
      <c r="CU135" s="1508" t="n"/>
      <c r="CV135" s="1508" t="n"/>
      <c r="CW135" s="1508" t="n"/>
      <c r="CX135" s="1508" t="n"/>
      <c r="CY135" s="1508" t="n"/>
      <c r="CZ135" s="1508" t="n"/>
      <c r="DA135" s="1508" t="n"/>
      <c r="DB135" s="1508" t="n"/>
      <c r="DC135" s="1508" t="n"/>
      <c r="DD135" s="1508" t="n"/>
      <c r="DE135" s="1508" t="n"/>
      <c r="DF135" s="1508" t="n"/>
      <c r="DG135" s="1508" t="n"/>
      <c r="DH135" s="1508" t="n"/>
      <c r="DI135" s="1508" t="n"/>
      <c r="DJ135" s="1508" t="n"/>
      <c r="DK135" s="1508" t="n"/>
      <c r="DL135" s="1508" t="n"/>
      <c r="DM135" s="1508" t="n"/>
      <c r="DN135" s="1508" t="n"/>
      <c r="DO135" s="1508" t="n"/>
      <c r="DP135" s="1508" t="n"/>
    </row>
    <row r="136">
      <c r="D136" s="1508" t="n"/>
      <c r="E136" s="1508" t="n"/>
      <c r="F136" s="1508" t="n"/>
      <c r="G136" s="1508" t="n"/>
      <c r="H136" s="1508" t="n"/>
      <c r="I136" s="1508" t="n"/>
      <c r="J136" s="1508" t="n"/>
      <c r="K136" s="1508" t="n"/>
      <c r="L136" s="1508" t="n"/>
      <c r="M136" s="1508" t="n"/>
      <c r="N136" s="1508" t="n"/>
      <c r="O136" s="1508" t="n"/>
      <c r="P136" s="1508" t="n"/>
      <c r="Q136" s="1508" t="n"/>
      <c r="R136" s="1508" t="n"/>
      <c r="S136" s="1508" t="n"/>
      <c r="T136" s="1508" t="n"/>
      <c r="U136" s="1508" t="n"/>
      <c r="V136" s="1508" t="n"/>
      <c r="W136" s="1508" t="n"/>
      <c r="X136" s="1508" t="n"/>
      <c r="Y136" s="1508" t="n"/>
      <c r="Z136" s="1508" t="n"/>
      <c r="AA136" s="1508" t="n"/>
      <c r="AB136" s="1508" t="n"/>
      <c r="AC136" s="1508" t="n"/>
      <c r="AD136" s="1508" t="n"/>
      <c r="AE136" s="1508" t="n"/>
      <c r="AF136" s="1508" t="n"/>
      <c r="AG136" s="1508" t="n"/>
      <c r="AH136" s="1508" t="n"/>
      <c r="AI136" s="1508" t="n"/>
      <c r="AJ136" s="1508" t="n"/>
      <c r="AK136" s="1508" t="n"/>
      <c r="AL136" s="1508" t="n"/>
      <c r="AM136" s="1508" t="n"/>
      <c r="AN136" s="1508" t="n"/>
      <c r="AO136" s="1508" t="n"/>
      <c r="AP136" s="1508" t="n"/>
      <c r="AQ136" s="1508" t="n"/>
      <c r="AR136" s="1508" t="n"/>
      <c r="AS136" s="1508" t="n"/>
      <c r="AT136" s="1508" t="n"/>
      <c r="AU136" s="1508" t="n"/>
      <c r="AV136" s="1508" t="n"/>
      <c r="AW136" s="1508" t="n"/>
      <c r="AX136" s="1508" t="n"/>
      <c r="AY136" s="1508" t="n"/>
      <c r="AZ136" s="1508" t="n"/>
      <c r="BA136" s="1508" t="n"/>
      <c r="BB136" s="1508" t="n"/>
      <c r="BC136" s="1508" t="n"/>
      <c r="BD136" s="1508" t="n"/>
      <c r="BE136" s="1508" t="n"/>
      <c r="BF136" s="1508" t="n"/>
      <c r="BG136" s="1508" t="n"/>
      <c r="BH136" s="1508" t="n"/>
      <c r="BI136" s="1508" t="n"/>
      <c r="BJ136" s="1508" t="n"/>
      <c r="BK136" s="1508" t="n"/>
      <c r="BL136" s="1508" t="n"/>
      <c r="BM136" s="1508" t="n"/>
      <c r="BN136" s="1508" t="n"/>
      <c r="BO136" s="1508" t="n"/>
      <c r="BP136" s="1508" t="n"/>
      <c r="BQ136" s="1508" t="n"/>
      <c r="BR136" s="1508" t="n"/>
      <c r="BS136" s="1508" t="n"/>
      <c r="BT136" s="1508" t="n"/>
      <c r="BU136" s="1508" t="n"/>
      <c r="BV136" s="1508" t="n"/>
      <c r="BW136" s="1508" t="n"/>
      <c r="BX136" s="1508" t="n"/>
      <c r="BY136" s="1508" t="n"/>
      <c r="BZ136" s="1508" t="n"/>
      <c r="CA136" s="1508" t="n"/>
      <c r="CB136" s="1508" t="n"/>
      <c r="CC136" s="1508" t="n"/>
      <c r="CD136" s="1508" t="n"/>
      <c r="CE136" s="1508" t="n"/>
      <c r="CF136" s="1508" t="n"/>
      <c r="CG136" s="1508" t="n"/>
      <c r="CH136" s="1508" t="n"/>
      <c r="CI136" s="1508" t="n"/>
      <c r="CJ136" s="1508" t="n"/>
      <c r="CK136" s="1508" t="n"/>
      <c r="CL136" s="1508" t="n"/>
      <c r="CM136" s="1508" t="n"/>
      <c r="CN136" s="1508" t="n"/>
      <c r="CO136" s="1508" t="n"/>
      <c r="CP136" s="1508" t="n"/>
      <c r="CQ136" s="1508" t="n"/>
      <c r="CR136" s="1508" t="n"/>
      <c r="CS136" s="1508" t="n"/>
      <c r="CT136" s="1508" t="n"/>
      <c r="CU136" s="1508" t="n"/>
      <c r="CV136" s="1508" t="n"/>
      <c r="CW136" s="1508" t="n"/>
      <c r="CX136" s="1508" t="n"/>
      <c r="CY136" s="1508" t="n"/>
      <c r="CZ136" s="1508" t="n"/>
      <c r="DA136" s="1508" t="n"/>
      <c r="DB136" s="1508" t="n"/>
      <c r="DC136" s="1508" t="n"/>
      <c r="DD136" s="1508" t="n"/>
      <c r="DE136" s="1508" t="n"/>
      <c r="DF136" s="1508" t="n"/>
      <c r="DG136" s="1508" t="n"/>
      <c r="DH136" s="1508" t="n"/>
      <c r="DI136" s="1508" t="n"/>
      <c r="DJ136" s="1508" t="n"/>
      <c r="DK136" s="1508" t="n"/>
      <c r="DL136" s="1508" t="n"/>
      <c r="DM136" s="1508" t="n"/>
      <c r="DN136" s="1508" t="n"/>
      <c r="DO136" s="1508" t="n"/>
      <c r="DP136" s="1508" t="n"/>
    </row>
    <row r="137">
      <c r="D137" s="799" t="n"/>
      <c r="E137" s="799" t="n"/>
      <c r="F137" s="799" t="n"/>
      <c r="G137" s="799" t="n"/>
      <c r="H137" s="799" t="n"/>
      <c r="I137" s="799" t="n"/>
      <c r="J137" s="799" t="n"/>
      <c r="K137" s="799" t="n"/>
      <c r="L137" s="799" t="n"/>
      <c r="M137" s="799" t="n"/>
      <c r="N137" s="799" t="n"/>
      <c r="O137" s="799" t="n"/>
      <c r="P137" s="799" t="n"/>
      <c r="Q137" s="799" t="n"/>
      <c r="R137" s="799" t="n"/>
      <c r="S137" s="799" t="n"/>
      <c r="T137" s="799" t="n"/>
      <c r="U137" s="799" t="n"/>
      <c r="V137" s="799" t="n"/>
      <c r="W137" s="799" t="n"/>
      <c r="X137" s="799" t="n"/>
      <c r="Y137" s="799" t="n"/>
      <c r="Z137" s="799" t="n"/>
      <c r="AA137" s="799" t="n"/>
      <c r="AB137" s="799" t="n"/>
      <c r="AC137" s="799" t="n"/>
      <c r="AD137" s="799" t="n"/>
      <c r="AE137" s="799" t="n"/>
      <c r="AF137" s="799" t="n"/>
      <c r="AG137" s="799" t="n"/>
      <c r="AH137" s="799" t="n"/>
      <c r="AI137" s="799" t="n"/>
      <c r="AJ137" s="799" t="n"/>
      <c r="AK137" s="799" t="n"/>
      <c r="AL137" s="799" t="n"/>
      <c r="AM137" s="799" t="n"/>
      <c r="AN137" s="799" t="n"/>
      <c r="AO137" s="799" t="n"/>
      <c r="AP137" s="799" t="n"/>
      <c r="AQ137" s="799" t="n"/>
      <c r="AR137" s="799" t="n"/>
      <c r="AS137" s="799" t="n"/>
      <c r="AT137" s="799" t="n"/>
      <c r="AU137" s="799" t="n"/>
      <c r="AV137" s="799" t="n"/>
      <c r="AW137" s="799" t="n"/>
      <c r="AX137" s="799" t="n"/>
      <c r="AY137" s="799" t="n"/>
      <c r="AZ137" s="799" t="n"/>
      <c r="BA137" s="799" t="n"/>
      <c r="BB137" s="799" t="n"/>
      <c r="BC137" s="799" t="n"/>
      <c r="BD137" s="799" t="n"/>
      <c r="BE137" s="799" t="n"/>
      <c r="BF137" s="799" t="n"/>
      <c r="BG137" s="799" t="n"/>
      <c r="BH137" s="799" t="n"/>
      <c r="BI137" s="799" t="n"/>
      <c r="BJ137" s="799" t="n"/>
      <c r="BK137" s="799" t="n"/>
      <c r="BL137" s="799" t="n"/>
      <c r="BM137" s="799" t="n"/>
      <c r="BN137" s="799" t="n"/>
      <c r="BO137" s="799" t="n"/>
      <c r="BP137" s="799" t="n"/>
      <c r="BQ137" s="799" t="n"/>
      <c r="BR137" s="799" t="n"/>
      <c r="BS137" s="799" t="n"/>
      <c r="BT137" s="799" t="n"/>
      <c r="BU137" s="799" t="n"/>
      <c r="BV137" s="799" t="n"/>
      <c r="BW137" s="799" t="n"/>
      <c r="BX137" s="799" t="n"/>
      <c r="BY137" s="799" t="n"/>
      <c r="BZ137" s="799" t="n"/>
      <c r="CA137" s="799" t="n"/>
      <c r="CB137" s="799" t="n"/>
      <c r="CC137" s="799" t="n"/>
      <c r="CD137" s="799" t="n"/>
      <c r="CE137" s="799" t="n"/>
      <c r="CF137" s="799" t="n"/>
      <c r="CG137" s="799" t="n"/>
      <c r="CH137" s="799" t="n"/>
      <c r="CI137" s="799" t="n"/>
      <c r="CJ137" s="799" t="n"/>
      <c r="CK137" s="799" t="n"/>
      <c r="CL137" s="799" t="n"/>
      <c r="CM137" s="799" t="n"/>
      <c r="CN137" s="799" t="n"/>
      <c r="CO137" s="799" t="n"/>
      <c r="CP137" s="799" t="n"/>
      <c r="CQ137" s="799" t="n"/>
      <c r="CR137" s="799" t="n"/>
      <c r="CS137" s="799" t="n"/>
      <c r="CT137" s="799" t="n"/>
      <c r="CU137" s="799" t="n"/>
      <c r="CV137" s="799" t="n"/>
      <c r="CW137" s="799" t="n"/>
      <c r="CX137" s="799" t="n"/>
      <c r="CY137" s="799" t="n"/>
      <c r="CZ137" s="799" t="n"/>
      <c r="DA137" s="799" t="n"/>
      <c r="DB137" s="799" t="n"/>
      <c r="DC137" s="799" t="n"/>
      <c r="DD137" s="799" t="n"/>
      <c r="DE137" s="799" t="n"/>
      <c r="DF137" s="799" t="n"/>
      <c r="DG137" s="799" t="n"/>
      <c r="DH137" s="799" t="n"/>
      <c r="DI137" s="799" t="n"/>
      <c r="DJ137" s="799" t="n"/>
      <c r="DK137" s="799" t="n"/>
      <c r="DL137" s="799" t="n"/>
      <c r="DM137" s="799" t="n"/>
      <c r="DN137" s="799" t="n"/>
      <c r="DO137" s="799" t="n"/>
      <c r="DP137" s="799" t="n"/>
    </row>
    <row r="138"/>
    <row r="139">
      <c r="D139" s="1508" t="n"/>
      <c r="E139" s="1508" t="n"/>
      <c r="F139" s="1508" t="n"/>
      <c r="G139" s="1508" t="n"/>
      <c r="H139" s="1508" t="n"/>
      <c r="I139" s="1508" t="n"/>
      <c r="J139" s="1508" t="n"/>
      <c r="K139" s="1508" t="n"/>
      <c r="L139" s="1508" t="n"/>
      <c r="M139" s="1508" t="n"/>
      <c r="N139" s="1508" t="n"/>
      <c r="O139" s="1508" t="n"/>
      <c r="P139" s="1508" t="n"/>
      <c r="Q139" s="1508" t="n"/>
      <c r="R139" s="1508" t="n"/>
      <c r="S139" s="1508" t="n"/>
      <c r="T139" s="1508" t="n"/>
      <c r="U139" s="1508" t="n"/>
      <c r="V139" s="1508" t="n"/>
      <c r="W139" s="1508" t="n"/>
      <c r="X139" s="1508" t="n"/>
      <c r="Y139" s="1508" t="n"/>
      <c r="Z139" s="1508" t="n"/>
      <c r="AA139" s="1508" t="n"/>
      <c r="AB139" s="1508" t="n"/>
      <c r="AC139" s="1508" t="n"/>
      <c r="AD139" s="1508" t="n"/>
      <c r="AE139" s="1508" t="n"/>
      <c r="AF139" s="1508" t="n"/>
      <c r="AG139" s="1508" t="n"/>
      <c r="AH139" s="1508" t="n"/>
      <c r="AI139" s="1508" t="n"/>
      <c r="AJ139" s="1508" t="n"/>
      <c r="AK139" s="1508" t="n"/>
      <c r="AL139" s="1508" t="n"/>
      <c r="AM139" s="1508" t="n"/>
      <c r="AN139" s="1508" t="n"/>
      <c r="AO139" s="1508" t="n"/>
      <c r="AP139" s="1508" t="n"/>
      <c r="AQ139" s="1508" t="n"/>
      <c r="AR139" s="1508" t="n"/>
      <c r="AS139" s="1508" t="n"/>
      <c r="AT139" s="1508" t="n"/>
      <c r="AU139" s="1508" t="n"/>
      <c r="AV139" s="1508" t="n"/>
      <c r="AW139" s="1508" t="n"/>
      <c r="AX139" s="1508" t="n"/>
      <c r="AY139" s="1508" t="n"/>
      <c r="AZ139" s="1508" t="n"/>
      <c r="BA139" s="1508" t="n"/>
      <c r="BB139" s="1508" t="n"/>
      <c r="BC139" s="1508" t="n"/>
      <c r="BD139" s="1508" t="n"/>
      <c r="BE139" s="1508" t="n"/>
      <c r="BF139" s="1508" t="n"/>
      <c r="BG139" s="1508" t="n"/>
      <c r="BH139" s="1508" t="n"/>
      <c r="BI139" s="1508" t="n"/>
      <c r="BJ139" s="1508" t="n"/>
      <c r="BK139" s="1508" t="n"/>
      <c r="BL139" s="1508" t="n"/>
      <c r="BM139" s="1508" t="n"/>
      <c r="BN139" s="1508" t="n"/>
      <c r="BO139" s="1508" t="n"/>
      <c r="BP139" s="1508" t="n"/>
      <c r="BQ139" s="1508" t="n"/>
      <c r="BR139" s="1508" t="n"/>
      <c r="BS139" s="1508" t="n"/>
      <c r="BT139" s="1508" t="n"/>
      <c r="BU139" s="1508" t="n"/>
      <c r="BV139" s="1508" t="n"/>
      <c r="BW139" s="1508" t="n"/>
      <c r="BX139" s="1508" t="n"/>
      <c r="BY139" s="1508" t="n"/>
      <c r="BZ139" s="1508" t="n"/>
      <c r="CA139" s="1508" t="n"/>
      <c r="CB139" s="1508" t="n"/>
      <c r="CC139" s="1508" t="n"/>
      <c r="CD139" s="1508" t="n"/>
      <c r="CE139" s="1508" t="n"/>
      <c r="CF139" s="1508" t="n"/>
      <c r="CG139" s="1508" t="n"/>
      <c r="CH139" s="1508" t="n"/>
      <c r="CI139" s="1508" t="n"/>
      <c r="CJ139" s="1508" t="n"/>
      <c r="CK139" s="1508" t="n"/>
      <c r="CL139" s="1508" t="n"/>
      <c r="CM139" s="1508" t="n"/>
      <c r="CN139" s="1508" t="n"/>
      <c r="CO139" s="1508" t="n"/>
      <c r="CP139" s="1508" t="n"/>
      <c r="CQ139" s="1508" t="n"/>
      <c r="CR139" s="1508" t="n"/>
      <c r="CS139" s="1508" t="n"/>
      <c r="CT139" s="1508" t="n"/>
      <c r="CU139" s="1508" t="n"/>
      <c r="CV139" s="1508" t="n"/>
      <c r="CW139" s="1508" t="n"/>
      <c r="CX139" s="1508" t="n"/>
      <c r="CY139" s="1508" t="n"/>
      <c r="CZ139" s="1508" t="n"/>
      <c r="DA139" s="1508" t="n"/>
      <c r="DB139" s="1508" t="n"/>
      <c r="DC139" s="1508" t="n"/>
      <c r="DD139" s="1508" t="n"/>
      <c r="DE139" s="1508" t="n"/>
      <c r="DF139" s="1508" t="n"/>
      <c r="DG139" s="1508" t="n"/>
      <c r="DH139" s="1508" t="n"/>
      <c r="DI139" s="1508" t="n"/>
      <c r="DJ139" s="1508" t="n"/>
      <c r="DK139" s="1508" t="n"/>
      <c r="DL139" s="1508" t="n"/>
      <c r="DM139" s="1508" t="n"/>
      <c r="DN139" s="1508" t="n"/>
      <c r="DO139" s="1508" t="n"/>
      <c r="DP139" s="1508" t="n"/>
    </row>
    <row r="140"/>
    <row r="141">
      <c r="D141" s="1508" t="n"/>
      <c r="E141" s="1508" t="n"/>
      <c r="F141" s="1508" t="n"/>
      <c r="G141" s="1508" t="n"/>
      <c r="H141" s="1508" t="n"/>
      <c r="I141" s="1508" t="n"/>
      <c r="J141" s="1508" t="n"/>
      <c r="K141" s="1508" t="n"/>
      <c r="L141" s="1508" t="n"/>
      <c r="M141" s="1508" t="n"/>
      <c r="N141" s="1508" t="n"/>
      <c r="O141" s="1508" t="n"/>
      <c r="P141" s="1508" t="n"/>
      <c r="Q141" s="1508" t="n"/>
      <c r="R141" s="1508" t="n"/>
      <c r="S141" s="1508" t="n"/>
      <c r="T141" s="1508" t="n"/>
      <c r="U141" s="1508" t="n"/>
      <c r="V141" s="1508" t="n"/>
      <c r="W141" s="1508" t="n"/>
      <c r="X141" s="1508" t="n"/>
      <c r="Y141" s="1508" t="n"/>
      <c r="Z141" s="1508" t="n"/>
      <c r="AA141" s="1508" t="n"/>
      <c r="AB141" s="1508" t="n"/>
      <c r="AC141" s="1508" t="n"/>
      <c r="AD141" s="1508" t="n"/>
      <c r="AE141" s="1508" t="n"/>
      <c r="AF141" s="1508" t="n"/>
      <c r="AG141" s="1508" t="n"/>
      <c r="AH141" s="1508" t="n"/>
      <c r="AI141" s="1508" t="n"/>
      <c r="AJ141" s="1508" t="n"/>
      <c r="AK141" s="1508" t="n"/>
      <c r="AL141" s="1508" t="n"/>
      <c r="AM141" s="1508" t="n"/>
      <c r="AN141" s="1508" t="n"/>
      <c r="AO141" s="1508" t="n"/>
      <c r="AP141" s="1508" t="n"/>
      <c r="AQ141" s="1508" t="n"/>
      <c r="AR141" s="1508" t="n"/>
      <c r="AS141" s="1508" t="n"/>
      <c r="AT141" s="1508" t="n"/>
      <c r="AU141" s="1508" t="n"/>
      <c r="AV141" s="1508" t="n"/>
      <c r="AW141" s="1508" t="n"/>
      <c r="AX141" s="1508" t="n"/>
      <c r="AY141" s="1508" t="n"/>
      <c r="AZ141" s="1508" t="n"/>
      <c r="BA141" s="1508" t="n"/>
      <c r="BB141" s="1508" t="n"/>
      <c r="BC141" s="1508" t="n"/>
      <c r="BD141" s="1508" t="n"/>
      <c r="BE141" s="1508" t="n"/>
      <c r="BF141" s="1508" t="n"/>
      <c r="BG141" s="1508" t="n"/>
      <c r="BH141" s="1508" t="n"/>
      <c r="BI141" s="1508" t="n"/>
      <c r="BJ141" s="1508" t="n"/>
      <c r="BK141" s="1508" t="n"/>
      <c r="BL141" s="1508" t="n"/>
      <c r="BM141" s="1508" t="n"/>
      <c r="BN141" s="1508" t="n"/>
      <c r="BO141" s="1508" t="n"/>
      <c r="BP141" s="1508" t="n"/>
      <c r="BQ141" s="1508" t="n"/>
      <c r="BR141" s="1508" t="n"/>
      <c r="BS141" s="1508" t="n"/>
      <c r="BT141" s="1508" t="n"/>
      <c r="BU141" s="1508" t="n"/>
      <c r="BV141" s="1508" t="n"/>
      <c r="BW141" s="1508" t="n"/>
      <c r="BX141" s="1508" t="n"/>
      <c r="BY141" s="1508" t="n"/>
      <c r="BZ141" s="1508" t="n"/>
      <c r="CA141" s="1508" t="n"/>
      <c r="CB141" s="1508" t="n"/>
      <c r="CC141" s="1508" t="n"/>
      <c r="CD141" s="1508" t="n"/>
      <c r="CE141" s="1508" t="n"/>
      <c r="CF141" s="1508" t="n"/>
      <c r="CG141" s="1508" t="n"/>
      <c r="CH141" s="1508" t="n"/>
      <c r="CI141" s="1508" t="n"/>
      <c r="CJ141" s="1508" t="n"/>
      <c r="CK141" s="1508" t="n"/>
      <c r="CL141" s="1508" t="n"/>
      <c r="CM141" s="1508" t="n"/>
      <c r="CN141" s="1508" t="n"/>
      <c r="CO141" s="1508" t="n"/>
      <c r="CP141" s="1508" t="n"/>
      <c r="CQ141" s="1508" t="n"/>
      <c r="CR141" s="1508" t="n"/>
      <c r="CS141" s="1508" t="n"/>
      <c r="CT141" s="1508" t="n"/>
      <c r="CU141" s="1508" t="n"/>
      <c r="CV141" s="1508" t="n"/>
      <c r="CW141" s="1508" t="n"/>
      <c r="CX141" s="1508" t="n"/>
      <c r="CY141" s="1508" t="n"/>
      <c r="CZ141" s="1508" t="n"/>
      <c r="DA141" s="1508" t="n"/>
      <c r="DB141" s="1508" t="n"/>
      <c r="DC141" s="1508" t="n"/>
      <c r="DD141" s="1508" t="n"/>
      <c r="DE141" s="1508" t="n"/>
      <c r="DF141" s="1508" t="n"/>
      <c r="DG141" s="1508" t="n"/>
      <c r="DH141" s="1508" t="n"/>
      <c r="DI141" s="1508" t="n"/>
      <c r="DJ141" s="1508" t="n"/>
      <c r="DK141" s="1508" t="n"/>
      <c r="DL141" s="1508" t="n"/>
      <c r="DM141" s="1508" t="n"/>
      <c r="DN141" s="1508" t="n"/>
      <c r="DO141" s="1508" t="n"/>
      <c r="DP141" s="1508" t="n"/>
    </row>
  </sheetData>
  <mergeCells count="1">
    <mergeCell ref="B1:BD1"/>
  </mergeCells>
  <pageMargins left="0.7086614173228347" right="0.7086614173228347" top="0.7480314960629921" bottom="0.7480314960629921" header="0.3149606299212598" footer="0.3149606299212598"/>
  <pageSetup orientation="portrait" paperSize="8" scale="9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22"/>
  <sheetViews>
    <sheetView showGridLines="0" workbookViewId="0">
      <selection activeCell="H24" sqref="H24"/>
    </sheetView>
  </sheetViews>
  <sheetFormatPr baseColWidth="8" defaultRowHeight="15"/>
  <cols>
    <col width="11.28515625" bestFit="1" customWidth="1" min="15" max="15"/>
    <col width="12.85546875" bestFit="1" customWidth="1" min="16" max="16"/>
    <col width="11.28515625" bestFit="1" customWidth="1" min="17" max="18"/>
    <col width="12.85546875" bestFit="1" customWidth="1" min="19" max="20"/>
    <col width="11.28515625" bestFit="1" customWidth="1" min="21" max="21"/>
    <col width="12.85546875" bestFit="1" customWidth="1" min="22" max="22"/>
    <col width="11.28515625" bestFit="1" customWidth="1" min="23" max="26"/>
    <col width="11.5703125" bestFit="1" customWidth="1" min="27" max="27"/>
    <col width="13" bestFit="1" customWidth="1" min="28" max="28"/>
    <col width="11.5703125" bestFit="1" customWidth="1" min="29" max="30"/>
    <col width="13.140625" bestFit="1" customWidth="1" min="31" max="35"/>
    <col width="11.5703125" bestFit="1" customWidth="1" min="36" max="38"/>
    <col width="11" bestFit="1" customWidth="1" min="39" max="41"/>
  </cols>
  <sheetData>
    <row r="1"/>
    <row r="2"/>
    <row r="3">
      <c r="B3" s="910" t="n"/>
      <c r="C3" s="910" t="n"/>
      <c r="D3" s="910" t="n"/>
      <c r="E3" s="910" t="n"/>
      <c r="F3" s="910" t="n"/>
      <c r="G3" s="910" t="n"/>
      <c r="H3" s="910" t="n"/>
      <c r="I3" s="910" t="n"/>
      <c r="J3" s="910" t="n"/>
      <c r="K3" s="910" t="n"/>
      <c r="L3" s="910" t="n"/>
      <c r="M3" s="910" t="n"/>
      <c r="N3" s="910" t="n"/>
      <c r="O3" s="910" t="n"/>
      <c r="P3" s="910" t="n"/>
      <c r="Q3" s="910" t="n"/>
      <c r="R3" s="910" t="n"/>
      <c r="S3" s="910" t="n"/>
      <c r="T3" s="910" t="n"/>
      <c r="U3" s="910" t="n"/>
      <c r="V3" s="910" t="n"/>
      <c r="W3" s="910" t="n"/>
      <c r="X3" s="910" t="n"/>
      <c r="Y3" s="910" t="n"/>
      <c r="Z3" s="910" t="n"/>
      <c r="AA3" s="911" t="n"/>
      <c r="AB3" s="911" t="n"/>
      <c r="AC3" s="911" t="n"/>
      <c r="AD3" s="911" t="n"/>
      <c r="AE3" s="911" t="n"/>
      <c r="AF3" s="911" t="n"/>
      <c r="AG3" s="911" t="n"/>
      <c r="AH3" s="911" t="n"/>
      <c r="AI3" s="911" t="n"/>
      <c r="AJ3" s="911" t="n"/>
      <c r="AK3" s="911" t="n"/>
      <c r="AL3" s="911" t="n"/>
      <c r="AM3" s="911" t="n"/>
      <c r="AN3" s="911" t="n"/>
      <c r="AO3" s="911" t="n"/>
    </row>
    <row r="4"/>
    <row r="5">
      <c r="C5" s="913" t="n"/>
      <c r="D5" s="913" t="n"/>
      <c r="E5" s="913" t="n"/>
      <c r="F5" s="913" t="n"/>
      <c r="G5" s="913" t="n"/>
      <c r="H5" s="913" t="n"/>
      <c r="I5" s="913" t="n"/>
      <c r="J5" s="913" t="n"/>
      <c r="K5" s="913" t="n"/>
      <c r="L5" s="913" t="n"/>
      <c r="M5" s="913" t="n"/>
      <c r="N5" s="913" t="n"/>
      <c r="O5" s="913" t="n"/>
      <c r="P5" s="913" t="n"/>
      <c r="Q5" s="913" t="n"/>
      <c r="R5" s="913" t="n"/>
      <c r="S5" s="913" t="n"/>
      <c r="T5" s="913" t="n"/>
      <c r="U5" s="913" t="n"/>
      <c r="V5" s="913" t="n"/>
      <c r="W5" s="913" t="n"/>
      <c r="X5" s="913" t="n"/>
      <c r="Y5" s="913" t="n"/>
      <c r="Z5" s="913" t="n"/>
      <c r="AA5" s="913" t="n"/>
      <c r="AB5" s="913" t="n"/>
      <c r="AC5" s="913" t="n"/>
      <c r="AD5" s="913" t="n"/>
      <c r="AE5" s="913" t="n"/>
      <c r="AF5" s="913" t="n"/>
      <c r="AG5" s="913" t="n"/>
      <c r="AH5" s="913" t="n"/>
      <c r="AI5" s="913" t="n"/>
      <c r="AJ5" s="913" t="n"/>
      <c r="AK5" s="913" t="n"/>
      <c r="AL5" s="913" t="n"/>
      <c r="AM5" s="913" t="n"/>
      <c r="AN5" s="913" t="n"/>
      <c r="AO5" s="913" t="n"/>
    </row>
    <row r="6">
      <c r="B6" s="914" t="n"/>
      <c r="C6" s="1570">
        <f>'Consol P&amp;L'!Q8</f>
        <v/>
      </c>
      <c r="D6" s="1570">
        <f>'Consol P&amp;L'!R8</f>
        <v/>
      </c>
      <c r="E6" s="1570">
        <f>'Consol P&amp;L'!S8</f>
        <v/>
      </c>
      <c r="F6" s="1570">
        <f>'Consol P&amp;L'!T8</f>
        <v/>
      </c>
      <c r="G6" s="1570">
        <f>'Consol P&amp;L'!U8</f>
        <v/>
      </c>
      <c r="H6" s="1570">
        <f>'Consol P&amp;L'!V8</f>
        <v/>
      </c>
      <c r="I6" s="1570">
        <f>'Consol P&amp;L'!W8</f>
        <v/>
      </c>
      <c r="J6" s="1570">
        <f>'Consol P&amp;L'!X8</f>
        <v/>
      </c>
      <c r="K6" s="1570">
        <f>'Consol P&amp;L'!Y8</f>
        <v/>
      </c>
      <c r="L6" s="1570">
        <f>'Consol P&amp;L'!Z8</f>
        <v/>
      </c>
      <c r="M6" s="1570">
        <f>'Consol P&amp;L'!AA8</f>
        <v/>
      </c>
      <c r="N6" s="1570">
        <f>'Consol P&amp;L'!AB8</f>
        <v/>
      </c>
      <c r="O6" s="1570">
        <f>'Consol P&amp;L'!AD8</f>
        <v/>
      </c>
      <c r="P6" s="1570">
        <f>'Consol P&amp;L'!AE8</f>
        <v/>
      </c>
      <c r="Q6" s="1570">
        <f>'Consol P&amp;L'!AF8</f>
        <v/>
      </c>
      <c r="R6" s="1570">
        <f>'Consol P&amp;L'!AG8</f>
        <v/>
      </c>
      <c r="S6" s="1570">
        <f>'Consol P&amp;L'!AH8</f>
        <v/>
      </c>
      <c r="T6" s="1570">
        <f>'Consol P&amp;L'!AI8</f>
        <v/>
      </c>
      <c r="U6" s="1570">
        <f>'Consol P&amp;L'!AJ8</f>
        <v/>
      </c>
      <c r="V6" s="1570">
        <f>'Consol P&amp;L'!AK8</f>
        <v/>
      </c>
      <c r="W6" s="1570">
        <f>'Consol P&amp;L'!AL8</f>
        <v/>
      </c>
      <c r="X6" s="1570">
        <f>'Consol P&amp;L'!AM8</f>
        <v/>
      </c>
      <c r="Y6" s="1570">
        <f>'Consol P&amp;L'!AN8</f>
        <v/>
      </c>
      <c r="Z6" s="1570">
        <f>'Consol P&amp;L'!AO8</f>
        <v/>
      </c>
      <c r="AA6" s="1570" t="n"/>
      <c r="AB6" s="1570" t="n"/>
      <c r="AC6" s="1570" t="n"/>
      <c r="AD6" s="1570" t="n"/>
      <c r="AE6" s="1570" t="n"/>
      <c r="AF6" s="1570" t="n"/>
      <c r="AG6" s="1570" t="n"/>
      <c r="AH6" s="1570" t="n"/>
      <c r="AI6" s="1570" t="n"/>
      <c r="AJ6" s="1570" t="n"/>
      <c r="AK6" s="1570" t="n"/>
      <c r="AL6" s="1570" t="n"/>
      <c r="AM6" s="1570" t="n"/>
      <c r="AN6" s="1570" t="n"/>
      <c r="AO6" s="1570" t="n"/>
    </row>
    <row r="7">
      <c r="B7" s="854" t="n"/>
      <c r="C7" s="1571">
        <f>'Consol P&amp;L'!Q9</f>
        <v/>
      </c>
      <c r="D7" s="1571">
        <f>'Consol P&amp;L'!R9</f>
        <v/>
      </c>
      <c r="E7" s="1571">
        <f>'Consol P&amp;L'!S9</f>
        <v/>
      </c>
      <c r="F7" s="1571">
        <f>'Consol P&amp;L'!T9</f>
        <v/>
      </c>
      <c r="G7" s="1571">
        <f>'Consol P&amp;L'!U9</f>
        <v/>
      </c>
      <c r="H7" s="1571">
        <f>'Consol P&amp;L'!V9</f>
        <v/>
      </c>
      <c r="I7" s="1571">
        <f>'Consol P&amp;L'!W9</f>
        <v/>
      </c>
      <c r="J7" s="1571">
        <f>'Consol P&amp;L'!X9</f>
        <v/>
      </c>
      <c r="K7" s="1571">
        <f>'Consol P&amp;L'!Y9</f>
        <v/>
      </c>
      <c r="L7" s="1571">
        <f>'Consol P&amp;L'!Z9</f>
        <v/>
      </c>
      <c r="M7" s="1571">
        <f>'Consol P&amp;L'!AA9</f>
        <v/>
      </c>
      <c r="N7" s="1571">
        <f>'Consol P&amp;L'!AB9</f>
        <v/>
      </c>
      <c r="O7" s="1571">
        <f>'Consol P&amp;L'!AD9</f>
        <v/>
      </c>
      <c r="P7" s="1571">
        <f>'Consol P&amp;L'!AE9</f>
        <v/>
      </c>
      <c r="Q7" s="1571">
        <f>'Consol P&amp;L'!AF9</f>
        <v/>
      </c>
      <c r="R7" s="1571">
        <f>'Consol P&amp;L'!AG9</f>
        <v/>
      </c>
      <c r="S7" s="1571">
        <f>'Consol P&amp;L'!AH9</f>
        <v/>
      </c>
      <c r="T7" s="1571">
        <f>'Consol P&amp;L'!AI9</f>
        <v/>
      </c>
      <c r="U7" s="1571">
        <f>'Consol P&amp;L'!AJ9</f>
        <v/>
      </c>
      <c r="V7" s="1571">
        <f>'Consol P&amp;L'!AK9</f>
        <v/>
      </c>
      <c r="W7" s="1571">
        <f>'Consol P&amp;L'!AL9</f>
        <v/>
      </c>
      <c r="X7" s="1571">
        <f>'Consol P&amp;L'!AM9</f>
        <v/>
      </c>
      <c r="Y7" s="1571">
        <f>'Consol P&amp;L'!AN9</f>
        <v/>
      </c>
      <c r="Z7" s="1571">
        <f>'Consol P&amp;L'!AO9</f>
        <v/>
      </c>
      <c r="AA7" s="1571" t="n"/>
      <c r="AB7" s="1571" t="n"/>
      <c r="AC7" s="1571" t="n"/>
      <c r="AD7" s="1571" t="n"/>
      <c r="AE7" s="1571" t="n"/>
      <c r="AF7" s="1571" t="n"/>
      <c r="AG7" s="1571" t="n"/>
      <c r="AH7" s="1571" t="n"/>
      <c r="AI7" s="1571" t="n"/>
      <c r="AJ7" s="1571" t="n"/>
      <c r="AK7" s="1571" t="n"/>
      <c r="AL7" s="1571" t="n"/>
      <c r="AM7" s="1571" t="n"/>
      <c r="AN7" s="1571" t="n"/>
      <c r="AO7" s="1571" t="n"/>
    </row>
    <row r="8">
      <c r="B8" s="915" t="n"/>
      <c r="C8" s="1572">
        <f>'Consol P&amp;L'!Q10</f>
        <v/>
      </c>
      <c r="D8" s="1572">
        <f>'Consol P&amp;L'!R10</f>
        <v/>
      </c>
      <c r="E8" s="1572">
        <f>'Consol P&amp;L'!S10</f>
        <v/>
      </c>
      <c r="F8" s="1572">
        <f>'Consol P&amp;L'!T10</f>
        <v/>
      </c>
      <c r="G8" s="1572">
        <f>'Consol P&amp;L'!U10</f>
        <v/>
      </c>
      <c r="H8" s="1572">
        <f>'Consol P&amp;L'!V10</f>
        <v/>
      </c>
      <c r="I8" s="1572">
        <f>'Consol P&amp;L'!W10</f>
        <v/>
      </c>
      <c r="J8" s="1572">
        <f>'Consol P&amp;L'!X10</f>
        <v/>
      </c>
      <c r="K8" s="1572">
        <f>'Consol P&amp;L'!Y10</f>
        <v/>
      </c>
      <c r="L8" s="1572">
        <f>'Consol P&amp;L'!Z10</f>
        <v/>
      </c>
      <c r="M8" s="1572">
        <f>'Consol P&amp;L'!AA10</f>
        <v/>
      </c>
      <c r="N8" s="1572">
        <f>'Consol P&amp;L'!AB10</f>
        <v/>
      </c>
      <c r="O8" s="1572">
        <f>'Consol P&amp;L'!AD10</f>
        <v/>
      </c>
      <c r="P8" s="1572">
        <f>'Consol P&amp;L'!AE10</f>
        <v/>
      </c>
      <c r="Q8" s="1572">
        <f>'Consol P&amp;L'!AF10</f>
        <v/>
      </c>
      <c r="R8" s="1572">
        <f>'Consol P&amp;L'!AG10</f>
        <v/>
      </c>
      <c r="S8" s="1572">
        <f>'Consol P&amp;L'!AH10</f>
        <v/>
      </c>
      <c r="T8" s="1572">
        <f>'Consol P&amp;L'!AI10</f>
        <v/>
      </c>
      <c r="U8" s="1572">
        <f>'Consol P&amp;L'!AJ10</f>
        <v/>
      </c>
      <c r="V8" s="1572">
        <f>'Consol P&amp;L'!AK10</f>
        <v/>
      </c>
      <c r="W8" s="1572">
        <f>'Consol P&amp;L'!AL10</f>
        <v/>
      </c>
      <c r="X8" s="1572">
        <f>'Consol P&amp;L'!AM10</f>
        <v/>
      </c>
      <c r="Y8" s="1572">
        <f>'Consol P&amp;L'!AN10</f>
        <v/>
      </c>
      <c r="Z8" s="1572">
        <f>'Consol P&amp;L'!AO10</f>
        <v/>
      </c>
      <c r="AA8" s="1572" t="n"/>
      <c r="AB8" s="1572" t="n"/>
      <c r="AC8" s="1572" t="n"/>
      <c r="AD8" s="1572" t="n"/>
      <c r="AE8" s="1572" t="n"/>
      <c r="AF8" s="1572" t="n"/>
      <c r="AG8" s="1572" t="n"/>
      <c r="AH8" s="1572" t="n"/>
      <c r="AI8" s="1572" t="n"/>
      <c r="AJ8" s="1572" t="n"/>
      <c r="AK8" s="1572" t="n"/>
      <c r="AL8" s="1572" t="n"/>
      <c r="AM8" s="1572" t="n"/>
      <c r="AN8" s="1572" t="n"/>
      <c r="AO8" s="1572" t="n"/>
    </row>
    <row r="9"/>
    <row r="10">
      <c r="B10" s="910" t="n"/>
      <c r="C10" s="910" t="n"/>
      <c r="D10" s="910" t="n"/>
      <c r="E10" s="910" t="n"/>
      <c r="F10" s="910" t="n"/>
      <c r="G10" s="910" t="n"/>
      <c r="H10" s="910" t="n"/>
      <c r="I10" s="910" t="n"/>
      <c r="J10" s="910" t="n"/>
      <c r="K10" s="910" t="n"/>
      <c r="L10" s="910" t="n"/>
      <c r="M10" s="910" t="n"/>
      <c r="N10" s="910" t="n"/>
      <c r="O10" s="910" t="n"/>
      <c r="P10" s="910" t="n"/>
      <c r="Q10" s="910" t="n"/>
      <c r="R10" s="910" t="n"/>
      <c r="S10" s="910" t="n"/>
      <c r="T10" s="910" t="n"/>
      <c r="U10" s="910" t="n"/>
      <c r="V10" s="910" t="n"/>
      <c r="W10" s="910" t="n"/>
      <c r="X10" s="910" t="n"/>
      <c r="Y10" s="910" t="n"/>
      <c r="Z10" s="910" t="n"/>
      <c r="AA10" s="911" t="n"/>
      <c r="AB10" s="911" t="n"/>
      <c r="AC10" s="911" t="n"/>
      <c r="AD10" s="911" t="n"/>
      <c r="AE10" s="911" t="n"/>
      <c r="AF10" s="911" t="n"/>
      <c r="AG10" s="911" t="n"/>
      <c r="AH10" s="911" t="n"/>
      <c r="AI10" s="911" t="n"/>
      <c r="AJ10" s="911" t="n"/>
      <c r="AK10" s="911" t="n"/>
      <c r="AL10" s="911" t="n"/>
      <c r="AM10" s="911" t="n"/>
      <c r="AN10" s="911" t="n"/>
      <c r="AO10" s="911" t="n"/>
    </row>
    <row r="11"/>
    <row r="12">
      <c r="O12" s="913" t="n"/>
      <c r="P12" s="913" t="n"/>
      <c r="Q12" s="913" t="n"/>
      <c r="R12" s="913" t="n"/>
      <c r="S12" s="913" t="n"/>
      <c r="T12" s="913" t="n"/>
      <c r="U12" s="913" t="n"/>
      <c r="V12" s="913" t="n"/>
      <c r="W12" s="913" t="n"/>
      <c r="X12" s="913" t="n"/>
      <c r="Y12" s="913" t="n"/>
      <c r="Z12" s="913" t="n"/>
      <c r="AA12" s="913" t="n"/>
      <c r="AB12" s="913" t="n"/>
      <c r="AC12" s="913" t="n"/>
      <c r="AD12" s="913" t="n"/>
      <c r="AE12" s="913" t="n"/>
      <c r="AF12" s="913" t="n"/>
      <c r="AG12" s="913" t="n"/>
      <c r="AH12" s="913" t="n"/>
      <c r="AI12" s="913" t="n"/>
      <c r="AJ12" s="913" t="n"/>
      <c r="AK12" s="913" t="n"/>
      <c r="AL12" s="913" t="n"/>
      <c r="AM12" s="913" t="n"/>
      <c r="AN12" s="913" t="n"/>
      <c r="AO12" s="913" t="n"/>
    </row>
    <row r="13">
      <c r="B13" s="914" t="n"/>
      <c r="C13" s="914" t="n"/>
      <c r="D13" s="914" t="n"/>
      <c r="E13" s="914" t="n"/>
      <c r="F13" s="914" t="n"/>
      <c r="G13" s="914" t="n"/>
      <c r="H13" s="914" t="n"/>
      <c r="I13" s="914" t="n"/>
      <c r="J13" s="914" t="n"/>
      <c r="K13" s="914" t="n"/>
      <c r="L13" s="914" t="n"/>
      <c r="M13" s="914" t="n"/>
      <c r="N13" s="914" t="n"/>
      <c r="O13" s="914" t="n"/>
      <c r="P13" s="914" t="n"/>
      <c r="Q13" s="914" t="n"/>
      <c r="R13" s="914" t="n"/>
      <c r="S13" s="914" t="n"/>
      <c r="T13" s="914" t="n"/>
      <c r="U13" s="914" t="n"/>
      <c r="V13" s="914" t="n"/>
      <c r="W13" s="914" t="n"/>
      <c r="X13" s="914" t="n"/>
      <c r="Y13" s="914" t="n"/>
      <c r="Z13" s="914" t="n"/>
      <c r="AA13" s="1573" t="n"/>
      <c r="AB13" s="1573" t="n"/>
      <c r="AC13" s="1573" t="n"/>
      <c r="AD13" s="1573" t="n"/>
      <c r="AE13" s="1573" t="n"/>
      <c r="AF13" s="1573" t="n"/>
      <c r="AG13" s="1573" t="n"/>
      <c r="AH13" s="1573" t="n"/>
      <c r="AI13" s="1573" t="n"/>
      <c r="AJ13" s="1573" t="n"/>
      <c r="AK13" s="1573" t="n"/>
      <c r="AL13" s="1573" t="n"/>
      <c r="AM13" s="1574" t="n"/>
      <c r="AN13" s="1574" t="n"/>
      <c r="AO13" s="1570" t="n"/>
    </row>
    <row r="14">
      <c r="B14" s="854" t="n"/>
      <c r="C14" s="854" t="n"/>
      <c r="D14" s="854" t="n"/>
      <c r="E14" s="854" t="n"/>
      <c r="F14" s="854" t="n"/>
      <c r="G14" s="854" t="n"/>
      <c r="H14" s="854" t="n"/>
      <c r="I14" s="854" t="n"/>
      <c r="J14" s="854" t="n"/>
      <c r="K14" s="854" t="n"/>
      <c r="L14" s="854" t="n"/>
      <c r="M14" s="854" t="n"/>
      <c r="N14" s="854" t="n"/>
      <c r="O14" s="854" t="n"/>
      <c r="P14" s="854" t="n"/>
      <c r="Q14" s="854" t="n"/>
      <c r="R14" s="854" t="n"/>
      <c r="S14" s="854" t="n"/>
      <c r="T14" s="854" t="n"/>
      <c r="U14" s="854" t="n"/>
      <c r="V14" s="854" t="n"/>
      <c r="W14" s="854" t="n"/>
      <c r="X14" s="854" t="n"/>
      <c r="Y14" s="854" t="n"/>
      <c r="Z14" s="854" t="n"/>
      <c r="AA14" s="1575" t="n"/>
      <c r="AB14" s="1575" t="n"/>
      <c r="AC14" s="1575" t="n"/>
      <c r="AD14" s="1575" t="n"/>
      <c r="AE14" s="1575" t="n"/>
      <c r="AF14" s="1575" t="n"/>
      <c r="AG14" s="1575" t="n"/>
      <c r="AH14" s="1575" t="n"/>
      <c r="AI14" s="1575" t="n"/>
      <c r="AJ14" s="1575" t="n"/>
      <c r="AK14" s="1575" t="n"/>
      <c r="AL14" s="1575" t="n"/>
      <c r="AM14" s="1571" t="n"/>
      <c r="AN14" s="1571" t="n"/>
      <c r="AO14" s="1571" t="n"/>
    </row>
    <row r="15">
      <c r="B15" s="915" t="n"/>
      <c r="C15" s="915" t="n"/>
      <c r="D15" s="915" t="n"/>
      <c r="E15" s="915" t="n"/>
      <c r="F15" s="915" t="n"/>
      <c r="G15" s="915" t="n"/>
      <c r="H15" s="915" t="n"/>
      <c r="I15" s="915" t="n"/>
      <c r="J15" s="915" t="n"/>
      <c r="K15" s="915" t="n"/>
      <c r="L15" s="915" t="n"/>
      <c r="M15" s="915" t="n"/>
      <c r="N15" s="915" t="n"/>
      <c r="O15" s="915" t="n"/>
      <c r="P15" s="915" t="n"/>
      <c r="Q15" s="915" t="n"/>
      <c r="R15" s="915" t="n"/>
      <c r="S15" s="915" t="n"/>
      <c r="T15" s="915" t="n"/>
      <c r="U15" s="915" t="n"/>
      <c r="V15" s="915" t="n"/>
      <c r="W15" s="915" t="n"/>
      <c r="X15" s="915" t="n"/>
      <c r="Y15" s="915" t="n"/>
      <c r="Z15" s="915" t="n"/>
      <c r="AA15" s="1576" t="n"/>
      <c r="AB15" s="1576" t="n"/>
      <c r="AC15" s="1576" t="n"/>
      <c r="AD15" s="1576" t="n"/>
      <c r="AE15" s="1576" t="n"/>
      <c r="AF15" s="1576" t="n"/>
      <c r="AG15" s="1576" t="n"/>
      <c r="AH15" s="1576" t="n"/>
      <c r="AI15" s="1576" t="n"/>
      <c r="AJ15" s="1576" t="n"/>
      <c r="AK15" s="1576" t="n"/>
      <c r="AL15" s="1576" t="n"/>
      <c r="AM15" s="1576" t="n"/>
      <c r="AN15" s="1576" t="n"/>
      <c r="AO15" s="1576" t="n"/>
    </row>
    <row r="16"/>
    <row r="17">
      <c r="B17" s="910" t="n"/>
      <c r="C17" s="910" t="n"/>
      <c r="D17" s="910" t="n"/>
      <c r="E17" s="910" t="n"/>
      <c r="F17" s="910" t="n"/>
      <c r="G17" s="910" t="n"/>
      <c r="H17" s="910" t="n"/>
      <c r="I17" s="910" t="n"/>
      <c r="J17" s="910" t="n"/>
      <c r="K17" s="910" t="n"/>
      <c r="L17" s="910" t="n"/>
      <c r="M17" s="910" t="n"/>
      <c r="N17" s="910" t="n"/>
      <c r="O17" s="910" t="n"/>
      <c r="P17" s="910" t="n"/>
      <c r="Q17" s="910" t="n"/>
      <c r="R17" s="910" t="n"/>
      <c r="S17" s="910" t="n"/>
      <c r="T17" s="910" t="n"/>
      <c r="U17" s="910" t="n"/>
      <c r="V17" s="910" t="n"/>
      <c r="W17" s="910" t="n"/>
      <c r="X17" s="910" t="n"/>
      <c r="Y17" s="910" t="n"/>
      <c r="Z17" s="910" t="n"/>
      <c r="AA17" s="911" t="n"/>
      <c r="AB17" s="911" t="n"/>
      <c r="AC17" s="911" t="n"/>
      <c r="AD17" s="911" t="n"/>
      <c r="AE17" s="911" t="n"/>
      <c r="AF17" s="911" t="n"/>
      <c r="AG17" s="911" t="n"/>
      <c r="AH17" s="911" t="n"/>
      <c r="AI17" s="911" t="n"/>
      <c r="AJ17" s="911" t="n"/>
      <c r="AK17" s="911" t="n"/>
      <c r="AL17" s="911" t="n"/>
      <c r="AM17" s="911" t="n"/>
      <c r="AN17" s="911" t="n"/>
      <c r="AO17" s="911" t="n"/>
    </row>
    <row r="18"/>
    <row r="19">
      <c r="O19" s="913" t="n"/>
      <c r="P19" s="913" t="n"/>
      <c r="Q19" s="913" t="n"/>
      <c r="R19" s="913" t="n"/>
      <c r="S19" s="913" t="n"/>
      <c r="T19" s="913" t="n"/>
      <c r="U19" s="913" t="n"/>
      <c r="V19" s="913" t="n"/>
      <c r="W19" s="913" t="n"/>
      <c r="X19" s="913" t="n"/>
      <c r="Y19" s="913" t="n"/>
      <c r="Z19" s="913" t="n"/>
      <c r="AA19" s="913" t="n"/>
      <c r="AB19" s="913" t="n"/>
      <c r="AC19" s="913" t="n"/>
      <c r="AD19" s="913" t="n"/>
      <c r="AE19" s="913" t="n"/>
      <c r="AF19" s="913" t="n"/>
      <c r="AG19" s="913" t="n"/>
      <c r="AH19" s="913" t="n"/>
      <c r="AI19" s="913" t="n"/>
      <c r="AJ19" s="913" t="n"/>
      <c r="AK19" s="913" t="n"/>
      <c r="AL19" s="913" t="n"/>
      <c r="AM19" s="913" t="n"/>
      <c r="AN19" s="913" t="n"/>
      <c r="AO19" s="913" t="n"/>
    </row>
    <row r="20">
      <c r="B20" s="914" t="n"/>
      <c r="C20" s="914" t="n"/>
      <c r="D20" s="914" t="n"/>
      <c r="E20" s="914" t="n"/>
      <c r="F20" s="914" t="n"/>
      <c r="G20" s="914" t="n"/>
      <c r="H20" s="914" t="n"/>
      <c r="I20" s="914" t="n"/>
      <c r="J20" s="914" t="n"/>
      <c r="K20" s="914" t="n"/>
      <c r="L20" s="914" t="n"/>
      <c r="M20" s="914" t="n"/>
      <c r="N20" s="914" t="n"/>
      <c r="O20" s="914" t="n"/>
      <c r="P20" s="914" t="n"/>
      <c r="Q20" s="914" t="n"/>
      <c r="R20" s="914" t="n"/>
      <c r="S20" s="914" t="n"/>
      <c r="T20" s="914" t="n"/>
      <c r="U20" s="914" t="n"/>
      <c r="V20" s="914" t="n"/>
      <c r="W20" s="914" t="n"/>
      <c r="X20" s="914" t="n"/>
      <c r="Y20" s="914" t="n"/>
      <c r="Z20" s="914" t="n"/>
      <c r="AA20" s="1577" t="n"/>
      <c r="AB20" s="1577" t="n"/>
      <c r="AC20" s="1577" t="n"/>
      <c r="AD20" s="1577" t="n"/>
      <c r="AE20" s="1577" t="n"/>
      <c r="AF20" s="1577" t="n"/>
      <c r="AG20" s="1577" t="n"/>
      <c r="AH20" s="1577" t="n"/>
      <c r="AI20" s="1577" t="n"/>
      <c r="AJ20" s="1577" t="n"/>
      <c r="AK20" s="1577" t="n"/>
      <c r="AL20" s="1577" t="n"/>
      <c r="AM20" s="1578" t="n"/>
      <c r="AN20" s="1578" t="n"/>
      <c r="AO20" s="1579" t="n"/>
    </row>
    <row r="21">
      <c r="B21" s="854" t="n"/>
      <c r="C21" s="854" t="n"/>
      <c r="D21" s="854" t="n"/>
      <c r="E21" s="854" t="n"/>
      <c r="F21" s="854" t="n"/>
      <c r="G21" s="854" t="n"/>
      <c r="H21" s="854" t="n"/>
      <c r="I21" s="854" t="n"/>
      <c r="J21" s="854" t="n"/>
      <c r="K21" s="854" t="n"/>
      <c r="L21" s="854" t="n"/>
      <c r="M21" s="854" t="n"/>
      <c r="N21" s="854" t="n"/>
      <c r="O21" s="854" t="n"/>
      <c r="P21" s="854" t="n"/>
      <c r="Q21" s="854" t="n"/>
      <c r="R21" s="854" t="n"/>
      <c r="S21" s="854" t="n"/>
      <c r="T21" s="854" t="n"/>
      <c r="U21" s="854" t="n"/>
      <c r="V21" s="854" t="n"/>
      <c r="W21" s="854" t="n"/>
      <c r="X21" s="854" t="n"/>
      <c r="Y21" s="854" t="n"/>
      <c r="Z21" s="854" t="n"/>
      <c r="AA21" s="1580" t="n"/>
      <c r="AB21" s="1580" t="n"/>
      <c r="AC21" s="1580" t="n"/>
      <c r="AD21" s="1580" t="n"/>
      <c r="AE21" s="1580" t="n"/>
      <c r="AF21" s="1580" t="n"/>
      <c r="AG21" s="1580" t="n"/>
      <c r="AH21" s="1580" t="n"/>
      <c r="AI21" s="1580" t="n"/>
      <c r="AJ21" s="1580" t="n"/>
      <c r="AK21" s="1580" t="n"/>
      <c r="AL21" s="1580" t="n"/>
      <c r="AM21" s="1581" t="n"/>
      <c r="AN21" s="1581" t="n"/>
      <c r="AO21" s="1581" t="n"/>
    </row>
    <row r="22">
      <c r="B22" s="915" t="n"/>
      <c r="C22" s="915" t="n"/>
      <c r="D22" s="915" t="n"/>
      <c r="E22" s="915" t="n"/>
      <c r="F22" s="915" t="n"/>
      <c r="G22" s="915" t="n"/>
      <c r="H22" s="915" t="n"/>
      <c r="I22" s="915" t="n"/>
      <c r="J22" s="915" t="n"/>
      <c r="K22" s="915" t="n"/>
      <c r="L22" s="915" t="n"/>
      <c r="M22" s="915" t="n"/>
      <c r="N22" s="915" t="n"/>
      <c r="O22" s="915" t="n"/>
      <c r="P22" s="915" t="n"/>
      <c r="Q22" s="915" t="n"/>
      <c r="R22" s="915" t="n"/>
      <c r="S22" s="915" t="n"/>
      <c r="T22" s="915" t="n"/>
      <c r="U22" s="915" t="n"/>
      <c r="V22" s="915" t="n"/>
      <c r="W22" s="915" t="n"/>
      <c r="X22" s="915" t="n"/>
      <c r="Y22" s="915" t="n"/>
      <c r="Z22" s="915" t="n"/>
      <c r="AA22" s="1582" t="n"/>
      <c r="AB22" s="1582" t="n"/>
      <c r="AC22" s="1582" t="n"/>
      <c r="AD22" s="1582" t="n"/>
      <c r="AE22" s="1582" t="n"/>
      <c r="AF22" s="1582" t="n"/>
      <c r="AG22" s="1582" t="n"/>
      <c r="AH22" s="1582" t="n"/>
      <c r="AI22" s="1582" t="n"/>
      <c r="AJ22" s="1582" t="n"/>
      <c r="AK22" s="1582" t="n"/>
      <c r="AL22" s="1582" t="n"/>
      <c r="AM22" s="1582" t="n"/>
      <c r="AN22" s="1582" t="n"/>
      <c r="AO22" s="158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3"/>
  <sheetViews>
    <sheetView topLeftCell="A23" workbookViewId="0">
      <selection activeCell="E53" sqref="E53"/>
    </sheetView>
  </sheetViews>
  <sheetFormatPr baseColWidth="8" defaultRowHeight="15"/>
  <cols>
    <col width="27.140625" bestFit="1" customWidth="1" min="1" max="1"/>
    <col width="14" bestFit="1" customWidth="1" min="2" max="6"/>
    <col width="14.28515625" bestFit="1" customWidth="1" min="7" max="10"/>
  </cols>
  <sheetData>
    <row r="1" ht="21.75" customHeight="1">
      <c r="A1" s="769" t="n"/>
    </row>
    <row r="2" ht="18" customHeight="1">
      <c r="A2" s="770" t="n"/>
    </row>
    <row r="3"/>
    <row r="4">
      <c r="A4" s="732" t="n"/>
      <c r="B4" s="771" t="n"/>
      <c r="C4" s="771" t="n"/>
      <c r="D4" s="771" t="n"/>
      <c r="E4" s="771" t="n"/>
      <c r="F4" s="771" t="n"/>
      <c r="G4" s="771" t="n"/>
      <c r="H4" s="771" t="n"/>
      <c r="I4" s="771" t="n"/>
      <c r="J4" s="771" t="n"/>
      <c r="K4" s="772" t="n"/>
      <c r="L4" s="772" t="n"/>
      <c r="M4" s="772" t="n"/>
      <c r="N4" s="772" t="n"/>
    </row>
    <row r="5">
      <c r="A5" s="773" t="n"/>
      <c r="B5" s="1583" t="n"/>
      <c r="C5" s="1583">
        <f>B45</f>
        <v/>
      </c>
      <c r="D5" s="1583">
        <f>C45</f>
        <v/>
      </c>
      <c r="E5" s="1583">
        <f>D45</f>
        <v/>
      </c>
      <c r="F5" s="1583">
        <f>E45</f>
        <v/>
      </c>
      <c r="G5" s="1583">
        <f>F45</f>
        <v/>
      </c>
      <c r="H5" s="1583">
        <f>G45</f>
        <v/>
      </c>
      <c r="I5" s="1583">
        <f>H45</f>
        <v/>
      </c>
      <c r="J5" s="1583">
        <f>I45</f>
        <v/>
      </c>
    </row>
    <row r="6">
      <c r="A6" s="775" t="n"/>
      <c r="B6" s="1584" t="n"/>
      <c r="C6" s="1584" t="n"/>
      <c r="D6" s="1584" t="n"/>
      <c r="E6" s="1584" t="n"/>
      <c r="F6" s="1584" t="n"/>
      <c r="G6" s="1584" t="n"/>
      <c r="H6" s="1584" t="n"/>
      <c r="I6" s="1584" t="n"/>
      <c r="J6" s="1584" t="n"/>
    </row>
    <row r="7">
      <c r="A7" s="777" t="n"/>
      <c r="B7" s="1585" t="n"/>
      <c r="C7" s="1585" t="n"/>
      <c r="D7" s="1585" t="n"/>
      <c r="E7" s="1585" t="n"/>
      <c r="F7" s="1585" t="n"/>
      <c r="G7" s="1585" t="n"/>
      <c r="H7" s="1585" t="n"/>
      <c r="I7" s="1585" t="n"/>
      <c r="J7" s="1585" t="n"/>
    </row>
    <row r="8">
      <c r="A8" s="775" t="n"/>
      <c r="B8" s="1584" t="n"/>
      <c r="C8" s="1584" t="n"/>
      <c r="D8" s="1584" t="n"/>
      <c r="E8" s="1584" t="n"/>
      <c r="F8" s="1584" t="n"/>
      <c r="G8" s="1584" t="n"/>
      <c r="H8" s="1584" t="n"/>
      <c r="I8" s="1584" t="n"/>
      <c r="J8" s="1584" t="n"/>
    </row>
    <row r="9">
      <c r="A9" s="779" t="n"/>
      <c r="B9" s="1584" t="n"/>
      <c r="C9" s="1584" t="n"/>
      <c r="D9" s="1584" t="n"/>
      <c r="E9" s="1584" t="n"/>
      <c r="F9" s="1584" t="n"/>
      <c r="G9" s="1584" t="n"/>
      <c r="H9" s="1584" t="n"/>
      <c r="I9" s="1584" t="n"/>
      <c r="J9" s="1584" t="n"/>
      <c r="K9" s="683" t="n"/>
    </row>
    <row r="10">
      <c r="A10" s="780" t="n"/>
      <c r="B10" s="1504" t="n"/>
      <c r="C10" s="1504" t="n"/>
      <c r="D10" s="1504" t="n"/>
      <c r="E10" s="1504" t="n"/>
      <c r="F10" s="1504" t="n"/>
      <c r="G10" s="1504" t="n"/>
      <c r="H10" s="1504" t="n"/>
      <c r="I10" s="1504" t="n"/>
      <c r="J10" s="1504" t="n"/>
      <c r="K10" s="1586" t="n"/>
    </row>
    <row r="11">
      <c r="A11" s="780" t="n"/>
      <c r="B11" s="1504" t="n"/>
      <c r="C11" s="1504" t="n"/>
      <c r="D11" s="1504" t="n"/>
      <c r="E11" s="1504" t="n"/>
      <c r="F11" s="1504" t="n"/>
      <c r="G11" s="1504" t="n"/>
      <c r="H11" s="1504" t="n"/>
      <c r="I11" s="1504" t="n"/>
      <c r="J11" s="1504" t="n"/>
      <c r="K11" s="1586" t="n"/>
    </row>
    <row r="12">
      <c r="A12" s="780" t="n"/>
      <c r="B12" s="1504" t="n"/>
      <c r="C12" s="1504" t="n"/>
      <c r="D12" s="1504" t="n"/>
      <c r="E12" s="1504" t="n"/>
      <c r="F12" s="1504" t="n"/>
      <c r="G12" s="1504" t="n"/>
      <c r="H12" s="1504" t="n"/>
      <c r="I12" s="1504" t="n"/>
      <c r="J12" s="1504" t="n"/>
      <c r="K12" s="1586" t="n"/>
    </row>
    <row r="13">
      <c r="A13" s="782" t="n"/>
      <c r="B13" s="1504" t="n"/>
      <c r="C13" s="1504" t="n"/>
      <c r="D13" s="1504" t="n"/>
      <c r="E13" s="1504" t="n"/>
      <c r="F13" s="1504" t="n"/>
      <c r="G13" s="1504" t="n"/>
      <c r="H13" s="1504" t="n"/>
      <c r="I13" s="1504" t="n"/>
      <c r="J13" s="1504" t="n"/>
    </row>
    <row r="14">
      <c r="A14" s="782" t="n"/>
      <c r="B14" s="1504" t="n"/>
      <c r="C14" s="1504" t="n"/>
      <c r="D14" s="1504" t="n"/>
      <c r="E14" s="1504" t="n"/>
      <c r="F14" s="1504" t="n"/>
      <c r="G14" s="1504" t="n"/>
      <c r="H14" s="1504" t="n"/>
      <c r="I14" s="1504" t="n"/>
      <c r="J14" s="1504" t="n"/>
    </row>
    <row r="15">
      <c r="A15" s="780" t="n"/>
      <c r="B15" s="1504" t="n"/>
      <c r="C15" s="1504" t="n"/>
      <c r="D15" s="1504" t="n"/>
      <c r="E15" s="1504" t="n"/>
      <c r="F15" s="1504" t="n"/>
      <c r="G15" s="1504" t="n"/>
      <c r="H15" s="1504" t="n"/>
      <c r="I15" s="1504" t="n"/>
      <c r="J15" s="1504" t="n"/>
      <c r="K15" s="1587" t="n"/>
    </row>
    <row r="16">
      <c r="A16" s="780" t="n"/>
      <c r="B16" s="1504" t="n"/>
      <c r="C16" s="1504" t="n"/>
      <c r="D16" s="1504" t="n"/>
      <c r="E16" s="1504" t="n"/>
      <c r="F16" s="1504" t="n"/>
      <c r="G16" s="1504" t="n"/>
      <c r="H16" s="1504" t="n"/>
      <c r="I16" s="1504" t="n"/>
      <c r="J16" s="1504" t="n"/>
      <c r="K16" s="1587" t="n"/>
    </row>
    <row r="17">
      <c r="A17" s="780" t="n"/>
      <c r="B17" s="1504" t="n"/>
      <c r="C17" s="1504" t="n"/>
      <c r="D17" s="1504" t="n"/>
      <c r="E17" s="1504" t="n"/>
      <c r="F17" s="1504" t="n"/>
      <c r="G17" s="1504" t="n"/>
      <c r="H17" s="1504" t="n"/>
      <c r="I17" s="1504" t="n"/>
      <c r="J17" s="1504" t="n"/>
      <c r="K17" s="1587" t="n"/>
    </row>
    <row r="18">
      <c r="A18" s="780" t="n"/>
      <c r="B18" s="1504" t="n"/>
      <c r="C18" s="1504" t="n"/>
      <c r="D18" s="1504" t="n"/>
      <c r="E18" s="1504" t="n"/>
      <c r="F18" s="1504" t="n"/>
      <c r="G18" s="1504" t="n"/>
      <c r="H18" s="1504" t="n"/>
      <c r="I18" s="1504" t="n"/>
      <c r="J18" s="1504" t="n"/>
      <c r="K18" s="1587" t="n"/>
    </row>
    <row r="19" hidden="1">
      <c r="A19" s="782" t="n"/>
      <c r="B19" s="1504" t="n"/>
      <c r="C19" s="1504" t="n"/>
      <c r="D19" s="1504" t="n"/>
      <c r="E19" s="1504" t="n"/>
      <c r="F19" s="1504" t="n"/>
      <c r="G19" s="1504" t="n"/>
      <c r="H19" s="1504" t="n"/>
      <c r="I19" s="1504" t="n"/>
      <c r="J19" s="1504" t="n"/>
    </row>
    <row r="20">
      <c r="A20" s="780" t="n"/>
      <c r="B20" s="1504" t="n"/>
      <c r="C20" s="1504" t="n"/>
      <c r="D20" s="1504" t="n"/>
      <c r="E20" s="1504" t="n"/>
      <c r="F20" s="1504" t="n"/>
      <c r="G20" s="1504" t="n"/>
      <c r="H20" s="1504" t="n"/>
      <c r="I20" s="1504" t="n"/>
      <c r="J20" s="1504" t="n"/>
      <c r="K20" s="1587" t="n"/>
    </row>
    <row r="21">
      <c r="A21" s="780" t="n"/>
      <c r="B21" s="1504" t="n"/>
      <c r="C21" s="1504" t="n"/>
      <c r="D21" s="1504" t="n"/>
      <c r="E21" s="1504" t="n"/>
      <c r="F21" s="1504" t="n"/>
      <c r="G21" s="1504" t="n"/>
      <c r="H21" s="1504" t="n"/>
      <c r="I21" s="1504" t="n"/>
      <c r="J21" s="1504" t="n"/>
      <c r="K21" s="1587" t="n"/>
    </row>
    <row r="22">
      <c r="A22" s="780" t="n"/>
      <c r="B22" s="1504" t="n"/>
      <c r="C22" s="1504" t="n"/>
      <c r="D22" s="1504" t="n"/>
      <c r="E22" s="1504" t="n"/>
      <c r="F22" s="1504" t="n"/>
      <c r="G22" s="1504" t="n"/>
      <c r="H22" s="1504" t="n"/>
      <c r="I22" s="1504" t="n"/>
      <c r="J22" s="1504" t="n"/>
      <c r="K22" s="1587" t="n"/>
    </row>
    <row r="23">
      <c r="A23" s="780" t="n"/>
      <c r="B23" s="1504" t="n"/>
      <c r="C23" s="1504" t="n"/>
      <c r="D23" s="1504" t="n"/>
      <c r="E23" s="1504" t="n"/>
      <c r="F23" s="1504" t="n"/>
      <c r="G23" s="1504" t="n"/>
      <c r="H23" s="1504" t="n"/>
      <c r="I23" s="1504" t="n"/>
      <c r="J23" s="1504" t="n"/>
      <c r="K23" s="1587" t="n"/>
    </row>
    <row r="24">
      <c r="A24" s="780" t="n"/>
      <c r="B24" s="1504" t="n"/>
      <c r="C24" s="1504" t="n"/>
      <c r="D24" s="1504" t="n"/>
      <c r="E24" s="1504" t="n"/>
      <c r="F24" s="1504" t="n"/>
      <c r="G24" s="1504" t="n"/>
      <c r="H24" s="1504" t="n"/>
      <c r="I24" s="1504" t="n"/>
      <c r="J24" s="1504" t="n"/>
      <c r="K24" s="1587" t="n"/>
    </row>
    <row r="25">
      <c r="A25" s="782" t="n"/>
      <c r="B25" s="1504" t="n"/>
      <c r="C25" s="1504" t="n"/>
      <c r="D25" s="1504" t="n"/>
      <c r="E25" s="1504" t="n"/>
      <c r="F25" s="1504" t="n"/>
      <c r="G25" s="1504" t="n"/>
      <c r="H25" s="1504" t="n"/>
      <c r="I25" s="1504" t="n"/>
      <c r="J25" s="1504" t="n"/>
    </row>
    <row r="26">
      <c r="A26" s="782" t="n"/>
      <c r="B26" s="1504" t="n"/>
      <c r="C26" s="1504" t="n"/>
      <c r="D26" s="1504" t="n"/>
      <c r="E26" s="1504" t="n"/>
      <c r="F26" s="1504" t="n"/>
      <c r="G26" s="1504" t="n"/>
      <c r="H26" s="1504" t="n"/>
      <c r="I26" s="1504" t="n"/>
      <c r="J26" s="1504" t="n"/>
    </row>
    <row r="27">
      <c r="A27" s="782" t="n"/>
      <c r="B27" s="1504" t="n"/>
      <c r="C27" s="1504" t="n"/>
      <c r="D27" s="1504" t="n"/>
      <c r="E27" s="1504" t="n"/>
      <c r="F27" s="1504" t="n"/>
      <c r="G27" s="1504" t="n"/>
      <c r="H27" s="1504" t="n"/>
      <c r="I27" s="1504" t="n"/>
      <c r="J27" s="1504" t="n"/>
    </row>
    <row r="28">
      <c r="A28" s="780" t="n"/>
      <c r="B28" s="1588">
        <f>SUM(B10:B27)</f>
        <v/>
      </c>
      <c r="C28" s="1588">
        <f>SUM(C10:C27)</f>
        <v/>
      </c>
      <c r="D28" s="1588">
        <f>SUM(D10:D27)</f>
        <v/>
      </c>
      <c r="E28" s="1588">
        <f>SUM(E10:E27)</f>
        <v/>
      </c>
      <c r="F28" s="1588">
        <f>SUM(F10:F27)</f>
        <v/>
      </c>
      <c r="G28" s="1588">
        <f>SUM(G10:G27)</f>
        <v/>
      </c>
      <c r="H28" s="1588">
        <f>SUM(H10:H27)</f>
        <v/>
      </c>
      <c r="I28" s="1588">
        <f>SUM(I10:I27)</f>
        <v/>
      </c>
      <c r="J28" s="1588">
        <f>SUM(J10:J27)</f>
        <v/>
      </c>
    </row>
    <row r="29">
      <c r="A29" s="775" t="n"/>
      <c r="B29" s="1584" t="n"/>
      <c r="C29" s="1584" t="n"/>
      <c r="D29" s="1584" t="n"/>
      <c r="E29" s="1584" t="n"/>
      <c r="F29" s="1584" t="n"/>
      <c r="G29" s="1584" t="n"/>
      <c r="H29" s="1584" t="n"/>
      <c r="I29" s="1584" t="n"/>
      <c r="J29" s="1584" t="n"/>
    </row>
    <row r="30">
      <c r="A30" s="779" t="n"/>
      <c r="B30" s="1584" t="n"/>
      <c r="C30" s="1584" t="n"/>
      <c r="D30" s="1584" t="n"/>
      <c r="E30" s="1584" t="n"/>
      <c r="F30" s="1584" t="n"/>
      <c r="G30" s="1584" t="n"/>
      <c r="H30" s="1584" t="n"/>
      <c r="I30" s="1584" t="n"/>
      <c r="J30" s="1584" t="n"/>
    </row>
    <row r="31" hidden="1">
      <c r="A31" s="782" t="n"/>
      <c r="B31" s="1584" t="n"/>
      <c r="C31" s="1584" t="n"/>
      <c r="D31" s="1584" t="n"/>
      <c r="E31" s="1584" t="n"/>
      <c r="F31" s="1585" t="n"/>
      <c r="G31" s="1585" t="n"/>
      <c r="H31" s="1585" t="n"/>
      <c r="I31" s="1584" t="n"/>
      <c r="J31" s="1584" t="n"/>
    </row>
    <row r="32">
      <c r="A32" s="782" t="n"/>
      <c r="B32" s="1504" t="n"/>
      <c r="C32" s="1504" t="n"/>
      <c r="D32" s="1504" t="n"/>
      <c r="E32" s="1504" t="n"/>
      <c r="F32" s="1504" t="n"/>
      <c r="G32" s="1504" t="n"/>
      <c r="H32" s="1504" t="n"/>
      <c r="I32" s="1504" t="n"/>
      <c r="J32" s="1504" t="n"/>
    </row>
    <row r="33">
      <c r="A33" s="782" t="n"/>
      <c r="B33" s="1504" t="n"/>
      <c r="C33" s="1504" t="n"/>
      <c r="D33" s="1504" t="n"/>
      <c r="E33" s="1504" t="n"/>
      <c r="F33" s="1504" t="n"/>
      <c r="G33" s="1504" t="n"/>
      <c r="H33" s="1504" t="n"/>
      <c r="I33" s="1504" t="n"/>
      <c r="J33" s="1504" t="n"/>
    </row>
    <row r="34">
      <c r="A34" s="775" t="n"/>
      <c r="B34" s="1588">
        <f>SUM(B31:B33)</f>
        <v/>
      </c>
      <c r="C34" s="1588">
        <f>SUM(C31:C33)</f>
        <v/>
      </c>
      <c r="D34" s="1588">
        <f>SUM(D31:D33)</f>
        <v/>
      </c>
      <c r="E34" s="1588">
        <f>SUM(E31:E33)</f>
        <v/>
      </c>
      <c r="F34" s="1588">
        <f>SUM(F31:F33)</f>
        <v/>
      </c>
      <c r="G34" s="1588">
        <f>SUM(G31:G33)</f>
        <v/>
      </c>
      <c r="H34" s="1588">
        <f>SUM(H31:H33)</f>
        <v/>
      </c>
      <c r="I34" s="1588">
        <f>SUM(I31:I33)</f>
        <v/>
      </c>
      <c r="J34" s="1588">
        <f>SUM(J31:J33)</f>
        <v/>
      </c>
    </row>
    <row r="35">
      <c r="A35" s="779" t="n"/>
      <c r="B35" s="1584" t="n"/>
      <c r="C35" s="1584" t="n"/>
      <c r="D35" s="1584" t="n"/>
      <c r="E35" s="1584" t="n"/>
      <c r="F35" s="1584" t="n"/>
      <c r="G35" s="1584" t="n"/>
      <c r="H35" s="1584" t="n"/>
      <c r="I35" s="1584" t="n"/>
      <c r="J35" s="1584" t="n"/>
    </row>
    <row r="36">
      <c r="A36" s="784" t="n"/>
      <c r="B36" s="1504" t="n"/>
      <c r="C36" s="1504" t="n"/>
      <c r="D36" s="1504" t="n"/>
      <c r="E36" s="1504" t="n"/>
      <c r="F36" s="1504" t="n"/>
      <c r="G36" s="1504" t="n"/>
      <c r="H36" s="1504" t="n"/>
      <c r="I36" s="1504" t="n"/>
      <c r="J36" s="1504" t="n"/>
      <c r="K36" s="1586" t="n"/>
    </row>
    <row r="37">
      <c r="A37" s="775" t="n"/>
      <c r="B37" s="1588">
        <f>SUM(B36)</f>
        <v/>
      </c>
      <c r="C37" s="1588">
        <f>SUM(C36)</f>
        <v/>
      </c>
      <c r="D37" s="1588">
        <f>SUM(D36)</f>
        <v/>
      </c>
      <c r="E37" s="1588">
        <f>SUM(E36)</f>
        <v/>
      </c>
      <c r="F37" s="1588">
        <f>SUM(F36)</f>
        <v/>
      </c>
      <c r="G37" s="1588">
        <f>SUM(G36)</f>
        <v/>
      </c>
      <c r="H37" s="1588">
        <f>SUM(H36)</f>
        <v/>
      </c>
      <c r="I37" s="1588">
        <f>SUM(I36)</f>
        <v/>
      </c>
      <c r="J37" s="1588">
        <f>SUM(J36)</f>
        <v/>
      </c>
    </row>
    <row r="38">
      <c r="A38" s="775" t="n"/>
      <c r="B38" s="1584" t="n"/>
      <c r="C38" s="1584" t="n"/>
      <c r="D38" s="1584" t="n"/>
      <c r="E38" s="1584" t="n"/>
      <c r="F38" s="1584" t="n"/>
      <c r="G38" s="1584" t="n"/>
      <c r="H38" s="1584" t="n"/>
      <c r="I38" s="1584" t="n"/>
      <c r="J38" s="1584" t="n"/>
    </row>
    <row r="39">
      <c r="A39" s="775" t="n"/>
      <c r="B39" s="1584" t="n"/>
      <c r="C39" s="1584" t="n"/>
      <c r="D39" s="1584" t="n"/>
      <c r="E39" s="1584" t="n"/>
      <c r="F39" s="1584" t="n"/>
      <c r="G39" s="1584" t="n"/>
      <c r="H39" s="1584" t="n"/>
      <c r="I39" s="1584" t="n"/>
      <c r="J39" s="1584" t="n"/>
    </row>
    <row r="40">
      <c r="A40" s="773" t="n"/>
      <c r="B40" s="1583">
        <f>+B37+B34+B28+B7+B5</f>
        <v/>
      </c>
      <c r="C40" s="1583">
        <f>+C37+C34+C28+C7+C5</f>
        <v/>
      </c>
      <c r="D40" s="1583">
        <f>+D37+D34+D28+D7+D5</f>
        <v/>
      </c>
      <c r="E40" s="1583">
        <f>+E37+E34+E28+E7+E5</f>
        <v/>
      </c>
      <c r="F40" s="1583">
        <f>+F37+F34+F28+F7+F5</f>
        <v/>
      </c>
      <c r="G40" s="1583">
        <f>+G37+G34+G28+G7+G5</f>
        <v/>
      </c>
      <c r="H40" s="1583">
        <f>+H37+H34+H28+H7+H5</f>
        <v/>
      </c>
      <c r="I40" s="1583">
        <f>+I37+I34+I28+I7+I5</f>
        <v/>
      </c>
      <c r="J40" s="1583">
        <f>+J37+J34+J28+J7+J5</f>
        <v/>
      </c>
    </row>
    <row r="41">
      <c r="A41" s="775" t="n"/>
      <c r="B41" s="1584" t="n"/>
      <c r="C41" s="1584" t="n"/>
      <c r="D41" s="1584" t="n"/>
      <c r="E41" s="1584" t="n"/>
      <c r="F41" s="1584" t="n"/>
      <c r="G41" s="1584" t="n"/>
      <c r="H41" s="1584" t="n"/>
      <c r="I41" s="1584" t="n"/>
      <c r="J41" s="1584" t="n"/>
    </row>
    <row r="42">
      <c r="A42" s="773" t="n"/>
      <c r="B42" s="1583">
        <f>+B40-B5</f>
        <v/>
      </c>
      <c r="C42" s="1583">
        <f>+C40-C5</f>
        <v/>
      </c>
      <c r="D42" s="1583">
        <f>+D40-D5</f>
        <v/>
      </c>
      <c r="E42" s="1583">
        <f>+E40-E5</f>
        <v/>
      </c>
      <c r="F42" s="1583">
        <f>+F40-F5</f>
        <v/>
      </c>
      <c r="G42" s="1583">
        <f>+G40-G5</f>
        <v/>
      </c>
      <c r="H42" s="1583">
        <f>+H40-H5</f>
        <v/>
      </c>
      <c r="I42" s="1583">
        <f>+I40-I5</f>
        <v/>
      </c>
      <c r="J42" s="1583">
        <f>+J40-J5</f>
        <v/>
      </c>
    </row>
    <row r="43">
      <c r="A43" s="785" t="n"/>
      <c r="B43" s="1589">
        <f>+B42-B36-B33-B32-B27-B26-B25-B19-B14-B13</f>
        <v/>
      </c>
      <c r="C43" s="1589">
        <f>+C42-C36-C33-C32-C27-C26-C25-C19-C14-C13</f>
        <v/>
      </c>
      <c r="D43" s="1589">
        <f>+D42-D36-D33-D32-D27-D26-D25-D19-D14-D13</f>
        <v/>
      </c>
      <c r="E43" s="1589">
        <f>+E42-E36-E33-E32-E27-E26-E25-E19-E14-E13</f>
        <v/>
      </c>
      <c r="F43" s="1589">
        <f>+F42-F36-F33-F32-F27-F26-F25-F19-F14-F13</f>
        <v/>
      </c>
      <c r="G43" s="1589">
        <f>+G42-G36-G33-G32-G27-G26-G25-G19-G14-G13</f>
        <v/>
      </c>
      <c r="H43" s="1589">
        <f>+H42-H36-H33-H32-H27-H26-H25-H19-H14-H13</f>
        <v/>
      </c>
      <c r="I43" s="1589">
        <f>+I42-I36-I33-I32-I27-I26-I25-I19-I14-I13</f>
        <v/>
      </c>
      <c r="J43" s="1589">
        <f>+J42-J36-J33-J32-J27-J26-J25-J19-J14-J13</f>
        <v/>
      </c>
    </row>
    <row r="44">
      <c r="A44" s="732" t="n"/>
      <c r="B44" s="1584" t="n"/>
      <c r="C44" s="1584" t="n"/>
      <c r="D44" s="1584" t="n"/>
      <c r="E44" s="1584" t="n"/>
      <c r="F44" s="1584" t="n"/>
      <c r="G44" s="1584" t="n"/>
      <c r="H44" s="1584" t="n"/>
      <c r="I44" s="1584" t="n"/>
      <c r="J44" s="1584" t="n"/>
    </row>
    <row r="45">
      <c r="A45" s="732" t="n"/>
      <c r="B45" s="1584" t="n"/>
      <c r="C45" s="1584" t="n"/>
      <c r="D45" s="1584" t="n"/>
      <c r="E45" s="1584" t="n"/>
      <c r="F45" s="1584" t="n"/>
      <c r="G45" s="1584" t="n"/>
      <c r="H45" s="1584" t="n"/>
      <c r="I45" s="1584" t="n"/>
      <c r="J45" s="1584" t="n"/>
    </row>
    <row r="46">
      <c r="A46" s="732" t="n"/>
      <c r="B46" s="1584" t="n"/>
      <c r="C46" s="1584" t="n"/>
      <c r="D46" s="1584" t="n"/>
      <c r="E46" s="1584" t="n"/>
      <c r="F46" s="1584" t="n"/>
      <c r="G46" s="1584" t="n"/>
      <c r="H46" s="1584" t="n"/>
      <c r="I46" s="1584" t="n"/>
      <c r="J46" s="1584" t="n"/>
    </row>
    <row r="47">
      <c r="A47" s="787" t="n"/>
      <c r="B47" s="1584">
        <f>+B40-B45</f>
        <v/>
      </c>
      <c r="C47" s="1584">
        <f>+C40-C45</f>
        <v/>
      </c>
      <c r="D47" s="1584">
        <f>+D40-D45</f>
        <v/>
      </c>
      <c r="E47" s="1584">
        <f>+E40-E45</f>
        <v/>
      </c>
      <c r="F47" s="1584">
        <f>+F40-F45</f>
        <v/>
      </c>
      <c r="G47" s="1584">
        <f>+G40-G45</f>
        <v/>
      </c>
      <c r="H47" s="1584">
        <f>+H40-H45</f>
        <v/>
      </c>
      <c r="I47" s="1584">
        <f>+I40-I45</f>
        <v/>
      </c>
      <c r="J47" s="1584">
        <f>+J40-J45</f>
        <v/>
      </c>
    </row>
    <row r="48"/>
    <row r="49"/>
    <row r="50"/>
    <row r="51"/>
    <row r="52">
      <c r="A52" s="866" t="n"/>
      <c r="B52" s="867" t="n"/>
      <c r="C52" s="867" t="n"/>
      <c r="D52" s="867" t="n"/>
      <c r="E52" s="867" t="n"/>
    </row>
    <row r="53">
      <c r="B53" s="1041">
        <f>SUMIFS(B$10:B$27,$K$10:$K$27,1)</f>
        <v/>
      </c>
      <c r="C53" s="1041">
        <f>SUMIFS(C$10:C$27,$K$10:$K$27,1)</f>
        <v/>
      </c>
      <c r="D53" s="1041">
        <f>SUMIFS(D$10:D$27,$K$10:$K$27,1)</f>
        <v/>
      </c>
      <c r="E53" s="1041">
        <f>SUMIFS(E$10:E$27,$K$10:$K$27,1)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showGridLines="0" view="pageBreakPreview" zoomScale="60" zoomScaleNormal="100" workbookViewId="0">
      <selection activeCell="Y26" sqref="Y26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opLeftCell="A2" zoomScale="90" zoomScaleNormal="90" workbookViewId="0">
      <selection activeCell="I27" sqref="I27"/>
    </sheetView>
  </sheetViews>
  <sheetFormatPr baseColWidth="8" defaultRowHeight="15"/>
  <cols>
    <col width="2.85546875" customWidth="1" min="1" max="1"/>
    <col width="38" customWidth="1" min="2" max="2"/>
    <col width="2.5703125" customWidth="1" min="3" max="3"/>
    <col width="14.28515625" customWidth="1" min="4" max="4"/>
    <col hidden="1" width="14.28515625" customWidth="1" min="5" max="5"/>
    <col width="14.28515625" customWidth="1" min="6" max="9"/>
  </cols>
  <sheetData>
    <row r="1" ht="21.75" customHeight="1">
      <c r="C1" s="929" t="n"/>
      <c r="D1" s="930" t="n"/>
      <c r="E1" s="930" t="n"/>
      <c r="F1" s="930" t="n"/>
      <c r="G1" s="930" t="n"/>
      <c r="H1" s="930" t="n"/>
      <c r="I1" s="930" t="n"/>
    </row>
    <row r="2" ht="19.5" customHeight="1" thickBot="1">
      <c r="C2" s="1027" t="n"/>
      <c r="D2" s="1503" t="n"/>
      <c r="E2" s="931" t="n"/>
      <c r="F2" s="931" t="n"/>
      <c r="G2" s="931" t="n"/>
      <c r="H2" s="931" t="n"/>
      <c r="I2" s="931" t="n"/>
    </row>
    <row r="3" ht="15.75" customHeight="1" thickTop="1">
      <c r="B3" s="704" t="n"/>
      <c r="C3" s="704" t="n"/>
      <c r="D3" s="704" t="n"/>
      <c r="E3" s="704" t="n"/>
      <c r="F3" s="704" t="n"/>
      <c r="G3" s="704" t="n"/>
      <c r="H3" s="704" t="n"/>
      <c r="I3" s="704" t="n"/>
    </row>
    <row r="4">
      <c r="B4" s="704" t="n"/>
      <c r="C4" s="704" t="n"/>
    </row>
    <row r="5" ht="15" customHeight="1">
      <c r="B5" s="732" t="n"/>
      <c r="C5" s="704" t="n"/>
      <c r="D5" s="1029" t="n"/>
    </row>
    <row r="6" ht="38.25" customHeight="1">
      <c r="B6" s="932" t="n"/>
      <c r="C6" s="933" t="n"/>
      <c r="D6" s="934" t="n"/>
      <c r="E6" s="934" t="n"/>
      <c r="F6" s="934" t="n"/>
      <c r="G6" s="934" t="n"/>
      <c r="H6" s="934" t="n"/>
      <c r="I6" s="934" t="n"/>
    </row>
    <row r="7">
      <c r="B7" s="732" t="n"/>
      <c r="C7" s="933" t="n"/>
      <c r="D7" s="935" t="n"/>
      <c r="E7" s="935" t="n"/>
      <c r="F7" s="935" t="n"/>
      <c r="G7" s="935" t="n"/>
      <c r="H7" s="936" t="n"/>
      <c r="I7" s="937" t="n"/>
    </row>
    <row r="8" ht="15.75" customHeight="1" thickBot="1">
      <c r="B8" s="712" t="n"/>
      <c r="C8" s="713" t="n"/>
      <c r="D8" s="713" t="n"/>
      <c r="E8" s="713" t="n"/>
      <c r="F8" s="713" t="n"/>
      <c r="G8" s="713" t="n"/>
      <c r="H8" s="713" t="n"/>
      <c r="I8" s="713" t="n"/>
    </row>
    <row r="9" ht="15.75" customHeight="1" thickTop="1">
      <c r="B9" s="715" t="n"/>
      <c r="C9" s="938" t="n"/>
      <c r="D9" s="1505" t="n"/>
      <c r="E9" s="1504" t="n"/>
      <c r="F9" s="1504" t="n"/>
      <c r="G9" s="1504" t="n"/>
      <c r="H9" s="1504" t="n"/>
      <c r="I9" s="1506" t="n"/>
    </row>
    <row r="10">
      <c r="B10" s="724" t="n"/>
      <c r="C10" s="938" t="n"/>
      <c r="D10" s="1505" t="n"/>
      <c r="E10" s="1504" t="n"/>
      <c r="F10" s="1504" t="n"/>
      <c r="G10" s="1504" t="n"/>
      <c r="H10" s="1504" t="n"/>
      <c r="I10" s="1506" t="n"/>
    </row>
    <row r="11">
      <c r="B11" s="939" t="n"/>
      <c r="C11" s="938" t="n"/>
      <c r="D11" s="1505" t="n"/>
      <c r="E11" s="1504" t="n"/>
      <c r="F11" s="1504" t="n"/>
      <c r="G11" s="1504" t="n"/>
      <c r="H11" s="1504" t="n"/>
      <c r="I11" s="1506" t="n"/>
    </row>
    <row r="12">
      <c r="B12" s="736" t="n"/>
      <c r="C12" s="940" t="n"/>
      <c r="D12" s="1506" t="n"/>
      <c r="E12" s="1506" t="n"/>
      <c r="F12" s="1506" t="n"/>
      <c r="G12" s="1506" t="n"/>
      <c r="H12" s="1506" t="n"/>
      <c r="I12" s="1506" t="n"/>
    </row>
    <row r="13">
      <c r="B13" s="732" t="n"/>
      <c r="C13" s="732" t="n"/>
      <c r="D13" s="941" t="n"/>
      <c r="E13" s="941" t="n"/>
      <c r="F13" s="941" t="n"/>
      <c r="G13" s="941" t="n"/>
      <c r="H13" s="941" t="n"/>
      <c r="I13" s="941" t="n"/>
    </row>
    <row r="14" ht="15.75" customHeight="1" thickBot="1">
      <c r="B14" s="712" t="n"/>
      <c r="C14" s="713" t="n"/>
      <c r="D14" s="713" t="n"/>
      <c r="E14" s="713" t="n"/>
      <c r="F14" s="713" t="n"/>
      <c r="G14" s="713" t="n"/>
      <c r="H14" s="713" t="n"/>
      <c r="I14" s="942" t="n"/>
    </row>
    <row r="15" ht="15.75" customHeight="1" thickTop="1">
      <c r="B15" s="715" t="n"/>
      <c r="C15" s="713" t="n"/>
      <c r="D15" s="1504" t="n"/>
      <c r="E15" s="1504" t="n"/>
      <c r="F15" s="1504" t="n"/>
      <c r="G15" s="1504" t="n"/>
      <c r="H15" s="1504" t="n"/>
      <c r="I15" s="1506" t="n"/>
    </row>
    <row r="16">
      <c r="B16" s="939" t="n"/>
      <c r="C16" s="713" t="n"/>
      <c r="D16" s="1504" t="n"/>
      <c r="E16" s="1504" t="n"/>
      <c r="F16" s="1504" t="n"/>
      <c r="G16" s="1504" t="n"/>
      <c r="H16" s="1504" t="n"/>
      <c r="I16" s="1506" t="n"/>
    </row>
    <row r="17">
      <c r="B17" s="939" t="n"/>
      <c r="C17" s="713" t="n"/>
      <c r="D17" s="1504" t="n"/>
      <c r="E17" s="1504" t="n"/>
      <c r="F17" s="1504" t="n"/>
      <c r="G17" s="1504" t="n"/>
      <c r="H17" s="1504" t="n"/>
      <c r="I17" s="1506" t="n"/>
    </row>
    <row r="18">
      <c r="B18" s="736" t="n"/>
      <c r="C18" s="940" t="n"/>
      <c r="D18" s="1506" t="n"/>
      <c r="E18" s="1506" t="n"/>
      <c r="F18" s="1506" t="n"/>
      <c r="G18" s="1506" t="n"/>
      <c r="H18" s="1506" t="n"/>
      <c r="I18" s="1506" t="n"/>
    </row>
    <row r="19">
      <c r="B19" s="732" t="n"/>
      <c r="C19" s="732" t="n"/>
      <c r="D19" s="941" t="n"/>
      <c r="E19" s="941" t="n"/>
      <c r="F19" s="941" t="n"/>
      <c r="G19" s="941" t="n"/>
      <c r="H19" s="941" t="n"/>
      <c r="I19" s="941" t="n"/>
    </row>
    <row r="20">
      <c r="B20" s="730" t="n"/>
      <c r="C20" s="940" t="n"/>
      <c r="D20" s="1507" t="n"/>
      <c r="E20" s="1507" t="n"/>
      <c r="F20" s="1507" t="n"/>
      <c r="G20" s="1507" t="n"/>
      <c r="H20" s="1507" t="n"/>
      <c r="I20" s="1507" t="n"/>
    </row>
    <row r="21">
      <c r="B21" s="732" t="n"/>
      <c r="C21" s="732" t="n"/>
      <c r="D21" s="733" t="n"/>
      <c r="E21" s="733" t="n"/>
      <c r="F21" s="733" t="n"/>
      <c r="G21" s="733" t="n"/>
      <c r="H21" s="733" t="n"/>
      <c r="I21" s="733" t="n"/>
    </row>
    <row r="22" ht="15.75" customHeight="1" thickBot="1">
      <c r="B22" s="712" t="n"/>
      <c r="C22" s="713" t="n"/>
      <c r="D22" s="713" t="n"/>
      <c r="E22" s="713" t="n"/>
      <c r="F22" s="713" t="n"/>
      <c r="G22" s="713" t="n"/>
      <c r="H22" s="713" t="n"/>
      <c r="I22" s="713" t="n"/>
    </row>
    <row r="23" ht="15.75" customHeight="1" thickTop="1">
      <c r="B23" s="724" t="n"/>
      <c r="C23" s="940" t="n"/>
      <c r="D23" s="1504" t="n"/>
      <c r="E23" s="1504" t="n"/>
      <c r="F23" s="1504" t="n"/>
      <c r="G23" s="1504" t="n"/>
      <c r="H23" s="1504" t="n"/>
      <c r="I23" s="1506" t="n"/>
    </row>
    <row r="24">
      <c r="B24" s="724" t="n"/>
      <c r="C24" s="940" t="n"/>
      <c r="D24" s="1504" t="n"/>
      <c r="E24" s="1504" t="n"/>
      <c r="F24" s="1504" t="n"/>
      <c r="G24" s="1504" t="n"/>
      <c r="H24" s="1504" t="n"/>
      <c r="I24" s="1506" t="n"/>
    </row>
    <row r="25">
      <c r="B25" s="724" t="n"/>
      <c r="C25" s="940" t="n"/>
      <c r="D25" s="1504" t="n"/>
      <c r="E25" s="1504" t="n"/>
      <c r="F25" s="1504" t="n"/>
      <c r="G25" s="1504" t="n"/>
      <c r="H25" s="1504" t="n"/>
      <c r="I25" s="1506" t="n"/>
    </row>
    <row r="26">
      <c r="B26" s="736" t="n"/>
      <c r="C26" s="940" t="n"/>
      <c r="D26" s="1506" t="n"/>
      <c r="E26" s="1506" t="n"/>
      <c r="F26" s="1506" t="n"/>
      <c r="G26" s="1506" t="n"/>
      <c r="H26" s="1506" t="n"/>
      <c r="I26" s="1506" t="n"/>
    </row>
    <row r="27">
      <c r="B27" s="732" t="n"/>
      <c r="C27" s="732" t="n"/>
      <c r="D27" s="941" t="n"/>
      <c r="E27" s="941" t="n"/>
      <c r="F27" s="941" t="n"/>
      <c r="G27" s="941" t="n"/>
      <c r="H27" s="941" t="n"/>
      <c r="I27" s="941" t="n"/>
    </row>
    <row r="28">
      <c r="B28" s="730" t="n"/>
      <c r="C28" s="943" t="n"/>
      <c r="D28" s="1507" t="n"/>
      <c r="E28" s="1507" t="n"/>
      <c r="F28" s="1507" t="n"/>
      <c r="G28" s="1507" t="n"/>
      <c r="H28" s="1507" t="n"/>
      <c r="I28" s="1507" t="n"/>
    </row>
    <row r="29">
      <c r="B29" s="732" t="n"/>
      <c r="C29" s="732" t="n"/>
      <c r="D29" s="733" t="n"/>
      <c r="E29" s="733" t="n"/>
      <c r="F29" s="733" t="n"/>
      <c r="G29" s="733" t="n"/>
      <c r="H29" s="733" t="n"/>
      <c r="I29" s="733" t="n"/>
    </row>
    <row r="30" ht="15.75" customHeight="1" thickBot="1">
      <c r="B30" s="712" t="n"/>
      <c r="C30" s="713" t="n"/>
      <c r="D30" s="713" t="n"/>
      <c r="E30" s="713" t="n"/>
      <c r="F30" s="713" t="n"/>
      <c r="G30" s="713" t="n"/>
      <c r="H30" s="713" t="n"/>
      <c r="I30" s="942" t="n"/>
    </row>
    <row r="31" ht="15.75" customHeight="1" thickTop="1">
      <c r="B31" s="724" t="n"/>
      <c r="C31" s="940" t="n"/>
      <c r="D31" s="1504" t="n"/>
      <c r="E31" s="1504" t="n"/>
      <c r="F31" s="1504" t="n"/>
      <c r="G31" s="1504" t="n"/>
      <c r="H31" s="1504" t="n"/>
      <c r="I31" s="1506" t="n"/>
    </row>
    <row r="32">
      <c r="B32" s="720" t="n"/>
      <c r="C32" s="940" t="n"/>
      <c r="D32" s="1506" t="n"/>
      <c r="E32" s="1506" t="n"/>
      <c r="F32" s="1506" t="n"/>
      <c r="G32" s="1506" t="n"/>
      <c r="H32" s="1506" t="n"/>
      <c r="I32" s="1506" t="n"/>
    </row>
    <row r="33">
      <c r="B33" s="732" t="n"/>
      <c r="C33" s="732" t="n"/>
      <c r="D33" s="733" t="n"/>
      <c r="E33" s="733" t="n"/>
      <c r="F33" s="733" t="n"/>
      <c r="G33" s="733" t="n"/>
      <c r="H33" s="733" t="n"/>
      <c r="I33" s="733" t="n"/>
    </row>
    <row r="34" ht="15.75" customHeight="1" thickBot="1">
      <c r="B34" s="712" t="n"/>
      <c r="C34" s="713" t="n"/>
      <c r="D34" s="713" t="n"/>
      <c r="E34" s="713" t="n"/>
      <c r="F34" s="713" t="n"/>
      <c r="G34" s="713" t="n"/>
      <c r="H34" s="713" t="n"/>
      <c r="I34" s="713" t="n"/>
    </row>
    <row r="35" ht="15.75" customHeight="1" thickTop="1">
      <c r="B35" s="724" t="n"/>
      <c r="C35" s="713" t="n"/>
      <c r="D35" s="1505" t="n"/>
      <c r="E35" s="1504" t="n"/>
      <c r="F35" s="1504" t="n"/>
      <c r="G35" s="1504" t="n"/>
      <c r="H35" s="1504" t="n"/>
      <c r="I35" s="1506" t="n"/>
    </row>
    <row r="36">
      <c r="B36" s="724" t="n"/>
      <c r="C36" s="713" t="n"/>
      <c r="D36" s="1504" t="n"/>
      <c r="E36" s="1504" t="n"/>
      <c r="F36" s="1504" t="n"/>
      <c r="G36" s="1504" t="n"/>
      <c r="H36" s="1504" t="n"/>
      <c r="I36" s="1506" t="n"/>
    </row>
    <row r="37">
      <c r="B37" s="720" t="n"/>
      <c r="C37" s="940" t="n"/>
      <c r="D37" s="1506" t="n"/>
      <c r="E37" s="1506" t="n"/>
      <c r="F37" s="1506" t="n"/>
      <c r="G37" s="1506" t="n"/>
      <c r="H37" s="1506" t="n"/>
      <c r="I37" s="1506" t="n"/>
    </row>
    <row r="38">
      <c r="B38" s="732" t="n"/>
      <c r="C38" s="732" t="n"/>
      <c r="D38" s="941" t="n"/>
      <c r="E38" s="941" t="n"/>
      <c r="F38" s="941" t="n"/>
      <c r="G38" s="941" t="n"/>
      <c r="H38" s="941" t="n"/>
      <c r="I38" s="941" t="n"/>
    </row>
    <row r="39">
      <c r="B39" s="730" t="n"/>
      <c r="C39" s="943" t="n"/>
      <c r="D39" s="1507" t="n"/>
      <c r="E39" s="1507" t="n"/>
      <c r="F39" s="1507" t="n"/>
      <c r="G39" s="1507" t="n"/>
      <c r="H39" s="1507" t="n"/>
      <c r="I39" s="1507" t="n"/>
    </row>
    <row r="40">
      <c r="B40" s="732" t="n"/>
      <c r="C40" s="732" t="n"/>
      <c r="D40" s="941" t="n"/>
      <c r="E40" s="941" t="n"/>
      <c r="F40" s="941" t="n"/>
      <c r="G40" s="941" t="n"/>
      <c r="H40" s="941" t="n"/>
      <c r="I40" s="941" t="n"/>
    </row>
    <row r="41" ht="15.75" customHeight="1" thickBot="1">
      <c r="B41" s="712" t="n"/>
      <c r="C41" s="713" t="n"/>
      <c r="D41" s="713" t="n"/>
      <c r="E41" s="713" t="n"/>
      <c r="F41" s="713" t="n"/>
      <c r="G41" s="713" t="n"/>
      <c r="H41" s="713" t="n"/>
      <c r="I41" s="713" t="n"/>
    </row>
    <row r="42" ht="15.75" customHeight="1" thickTop="1">
      <c r="B42" s="724" t="n"/>
      <c r="C42" s="713" t="n"/>
      <c r="D42" s="1504" t="n"/>
      <c r="E42" s="1504" t="n"/>
      <c r="F42" s="1504" t="n"/>
      <c r="G42" s="1504" t="n"/>
      <c r="H42" s="1504" t="n"/>
      <c r="I42" s="1506" t="n"/>
    </row>
    <row r="43">
      <c r="B43" s="724" t="n"/>
      <c r="C43" s="713" t="n"/>
      <c r="D43" s="1504" t="n"/>
      <c r="E43" s="1504" t="n"/>
      <c r="F43" s="1504" t="n"/>
      <c r="G43" s="1504" t="n"/>
      <c r="H43" s="1504" t="n"/>
      <c r="I43" s="1506" t="n"/>
    </row>
    <row r="44">
      <c r="B44" s="724" t="n"/>
      <c r="C44" s="713" t="n"/>
      <c r="D44" s="1504" t="n"/>
      <c r="E44" s="1504" t="n"/>
      <c r="F44" s="1504" t="n"/>
      <c r="G44" s="1504" t="n"/>
      <c r="H44" s="1504" t="n"/>
      <c r="I44" s="1506" t="n"/>
    </row>
    <row r="45">
      <c r="B45" s="720" t="n"/>
      <c r="C45" s="940" t="n"/>
      <c r="D45" s="1506" t="n"/>
      <c r="E45" s="1506" t="n"/>
      <c r="F45" s="1506" t="n"/>
      <c r="G45" s="1506" t="n"/>
      <c r="H45" s="1506" t="n"/>
      <c r="I45" s="1506" t="n"/>
    </row>
    <row r="46">
      <c r="B46" s="732" t="n"/>
      <c r="C46" s="732" t="n"/>
      <c r="D46" s="941" t="n"/>
      <c r="E46" s="941" t="n"/>
      <c r="F46" s="941" t="n"/>
      <c r="G46" s="941" t="n"/>
      <c r="H46" s="941" t="n"/>
      <c r="I46" s="941" t="n"/>
    </row>
    <row r="47">
      <c r="B47" s="730" t="n"/>
      <c r="C47" s="940" t="n"/>
      <c r="D47" s="1507" t="n"/>
      <c r="E47" s="1507" t="n"/>
      <c r="F47" s="1507" t="n"/>
      <c r="G47" s="1507" t="n"/>
      <c r="H47" s="1507" t="n"/>
      <c r="I47" s="1507" t="n"/>
    </row>
    <row r="48">
      <c r="B48" s="732" t="n"/>
      <c r="C48" s="732" t="n"/>
      <c r="D48" s="941" t="n"/>
      <c r="E48" s="941" t="n"/>
      <c r="F48" s="941" t="n"/>
      <c r="G48" s="941" t="n"/>
      <c r="H48" s="941" t="n"/>
      <c r="I48" s="941" t="n"/>
    </row>
    <row r="49">
      <c r="B49" s="724" t="n"/>
      <c r="C49" s="713" t="n"/>
      <c r="D49" s="1504" t="n"/>
      <c r="E49" s="1504" t="n"/>
      <c r="F49" s="1504" t="n"/>
      <c r="G49" s="1504" t="n"/>
      <c r="H49" s="1504" t="n"/>
      <c r="I49" s="1506" t="n"/>
    </row>
    <row r="50">
      <c r="B50" s="732" t="n"/>
      <c r="C50" s="732" t="n"/>
      <c r="D50" s="941" t="n"/>
      <c r="E50" s="941" t="n"/>
      <c r="F50" s="941" t="n"/>
      <c r="G50" s="944" t="n"/>
      <c r="H50" s="941" t="n"/>
      <c r="I50" s="941" t="n"/>
    </row>
    <row r="51">
      <c r="B51" s="945" t="n"/>
      <c r="C51" s="940" t="n"/>
      <c r="D51" s="1507" t="n"/>
      <c r="E51" s="1507" t="n"/>
      <c r="F51" s="1507" t="n"/>
      <c r="G51" s="1507" t="n"/>
      <c r="H51" s="1507" t="n"/>
      <c r="I51" s="1507" t="n"/>
    </row>
    <row r="52">
      <c r="B52" s="736" t="n"/>
      <c r="C52" s="940" t="n"/>
      <c r="D52" s="1510" t="n"/>
      <c r="E52" s="1510" t="n"/>
      <c r="F52" s="1510" t="n"/>
      <c r="G52" s="1510" t="n"/>
      <c r="H52" s="1510" t="n"/>
      <c r="I52" s="1510" t="n"/>
    </row>
    <row r="53">
      <c r="B53" s="724" t="n"/>
      <c r="C53" s="713" t="n"/>
      <c r="D53" s="1504" t="n"/>
      <c r="E53" s="1504" t="n"/>
      <c r="F53" s="1504" t="n"/>
      <c r="G53" s="1504" t="n"/>
      <c r="H53" s="1504" t="n"/>
      <c r="I53" s="1506" t="n"/>
    </row>
    <row r="54">
      <c r="B54" s="947" t="n"/>
      <c r="C54" s="713" t="n"/>
      <c r="D54" s="948" t="n"/>
      <c r="E54" s="948" t="n"/>
      <c r="F54" s="948" t="n"/>
      <c r="G54" s="948" t="n"/>
      <c r="H54" s="1511" t="n"/>
      <c r="I54" s="1511" t="n"/>
    </row>
    <row r="55">
      <c r="B55" s="945" t="n"/>
      <c r="C55" s="713" t="n"/>
      <c r="D55" s="1507" t="n"/>
      <c r="E55" s="1507" t="n"/>
      <c r="F55" s="1507" t="n"/>
      <c r="G55" s="1507" t="n"/>
      <c r="H55" s="1507" t="n"/>
      <c r="I55" s="1507" t="n"/>
    </row>
    <row r="56"/>
    <row r="57">
      <c r="D57" s="950" t="n"/>
      <c r="E57" s="1030" t="n"/>
      <c r="G57" s="1030" t="n"/>
      <c r="H57" s="1030" t="n"/>
      <c r="I57" s="1508" t="n"/>
    </row>
    <row r="58">
      <c r="D58" s="950" t="n"/>
      <c r="E58" s="950" t="n"/>
      <c r="F58" s="950" t="n"/>
      <c r="G58" s="950" t="n"/>
      <c r="H58" s="950" t="n"/>
    </row>
    <row r="59">
      <c r="D59" s="1517" t="n"/>
      <c r="E59" s="1517" t="n"/>
      <c r="F59" s="1517" t="n"/>
      <c r="G59" s="1517" t="n"/>
      <c r="H59" s="1517" t="n"/>
    </row>
  </sheetData>
  <mergeCells count="3">
    <mergeCell ref="E57:F57"/>
    <mergeCell ref="D5:I5"/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topLeftCell="A5" zoomScale="90" zoomScaleNormal="90" workbookViewId="0">
      <selection activeCell="Q19" sqref="Q8:Q19"/>
    </sheetView>
  </sheetViews>
  <sheetFormatPr baseColWidth="8" defaultRowHeight="15"/>
  <cols>
    <col width="8.85546875" customWidth="1" style="750" min="1" max="1"/>
    <col width="25.140625" bestFit="1" customWidth="1" style="750" min="2" max="2"/>
    <col width="11.85546875" bestFit="1" customWidth="1" style="955" min="3" max="3"/>
    <col width="3.42578125" customWidth="1" style="955" min="4" max="4"/>
    <col width="14.42578125" customWidth="1" style="1518" min="5" max="6"/>
    <col width="3.42578125" customWidth="1" style="750" min="7" max="7"/>
    <col width="14.42578125" customWidth="1" style="1518" min="8" max="9"/>
    <col width="3.42578125" customWidth="1" style="750" min="10" max="10"/>
    <col width="14.42578125" customWidth="1" style="1518" min="11" max="12"/>
    <col width="3.42578125" customWidth="1" style="750" min="13" max="13"/>
    <col width="14.42578125" customWidth="1" style="1518" min="14" max="15"/>
    <col width="12.28515625" bestFit="1" customWidth="1" min="17" max="17"/>
  </cols>
  <sheetData>
    <row r="1">
      <c r="B1" s="747" t="n"/>
      <c r="C1" s="953" t="n"/>
      <c r="D1" s="953" t="n"/>
      <c r="E1" s="1519" t="n"/>
      <c r="F1" s="1520" t="n"/>
      <c r="G1" s="954" t="n"/>
      <c r="H1" s="1519" t="n"/>
      <c r="I1" s="1520" t="n"/>
      <c r="J1" s="954" t="n"/>
      <c r="K1" s="1519" t="n"/>
      <c r="L1" s="1520" t="n"/>
      <c r="M1" s="954" t="n"/>
      <c r="N1" s="1521" t="n"/>
      <c r="O1" s="1522" t="n"/>
    </row>
    <row r="2">
      <c r="B2" s="749" t="n"/>
      <c r="E2" s="1523" t="n"/>
      <c r="F2" s="1523" t="n"/>
      <c r="G2" s="957" t="n"/>
      <c r="H2" s="1523" t="n"/>
      <c r="I2" s="1523" t="n"/>
      <c r="J2" s="957" t="n"/>
      <c r="K2" s="1523" t="n"/>
      <c r="L2" s="1523" t="n"/>
      <c r="M2" s="957" t="n"/>
      <c r="N2" s="1524" t="n"/>
      <c r="O2" s="1525" t="n"/>
    </row>
    <row r="3">
      <c r="B3" s="749" t="n"/>
      <c r="E3" s="1523" t="n"/>
      <c r="F3" s="1523" t="n"/>
      <c r="G3" s="957" t="n"/>
      <c r="H3" s="1523" t="n"/>
      <c r="I3" s="1523" t="n"/>
      <c r="J3" s="957" t="n"/>
      <c r="K3" s="1523" t="n"/>
      <c r="L3" s="1523" t="n"/>
      <c r="M3" s="957" t="n"/>
      <c r="N3" s="1524" t="n"/>
      <c r="O3" s="1525" t="n"/>
    </row>
    <row r="4">
      <c r="B4" s="749" t="n"/>
      <c r="E4" s="1523" t="n"/>
      <c r="F4" s="1523" t="n"/>
      <c r="G4" s="957" t="n"/>
      <c r="H4" s="1523" t="n"/>
      <c r="I4" s="1523" t="n"/>
      <c r="J4" s="957" t="n"/>
      <c r="K4" s="1523" t="n"/>
      <c r="L4" s="1523" t="n"/>
      <c r="M4" s="957" t="n"/>
      <c r="N4" s="1524" t="n"/>
      <c r="O4" s="1525" t="n"/>
    </row>
    <row r="5">
      <c r="B5" s="749" t="n"/>
      <c r="N5" s="1526" t="n"/>
      <c r="O5" s="1527" t="n"/>
    </row>
    <row r="6">
      <c r="A6" s="957" t="n"/>
      <c r="B6" s="963" t="n"/>
      <c r="C6" s="964" t="n"/>
      <c r="D6" s="964" t="n"/>
      <c r="E6" s="1528" t="n"/>
      <c r="F6" s="1528" t="n"/>
      <c r="G6" s="966" t="n"/>
      <c r="H6" s="1528" t="n"/>
      <c r="I6" s="1528" t="n"/>
      <c r="J6" s="966" t="n"/>
      <c r="K6" s="1528" t="n"/>
      <c r="L6" s="1528" t="n"/>
      <c r="M6" s="966" t="n"/>
      <c r="N6" s="1529" t="n"/>
      <c r="O6" s="1530" t="n"/>
    </row>
    <row r="7">
      <c r="B7" s="749" t="n"/>
      <c r="N7" s="1526" t="n"/>
      <c r="O7" s="1527" t="n"/>
    </row>
    <row r="8">
      <c r="B8" s="749" t="n"/>
      <c r="E8" s="1531" t="n"/>
      <c r="H8" s="1531" t="n"/>
      <c r="K8" s="1531" t="n"/>
      <c r="M8" s="751" t="n"/>
      <c r="N8" s="1531" t="n"/>
      <c r="O8" s="1527" t="n"/>
    </row>
    <row r="9">
      <c r="B9" s="749" t="n"/>
      <c r="E9" s="1531" t="n"/>
      <c r="H9" s="1531" t="n"/>
      <c r="K9" s="1531" t="n"/>
      <c r="M9" s="751" t="n"/>
      <c r="N9" s="1531" t="n"/>
      <c r="O9" s="1527" t="n"/>
    </row>
    <row r="10">
      <c r="A10" s="750" t="n"/>
      <c r="B10" s="749" t="n"/>
      <c r="E10" s="1531" t="n"/>
      <c r="H10" s="1531" t="n"/>
      <c r="K10" s="1531" t="n"/>
      <c r="M10" s="751" t="n"/>
      <c r="N10" s="1531" t="n"/>
      <c r="O10" s="1527" t="n"/>
    </row>
    <row r="11">
      <c r="A11" s="750" t="n"/>
      <c r="B11" s="749" t="n"/>
      <c r="E11" s="1531" t="n"/>
      <c r="H11" s="1531" t="n"/>
      <c r="K11" s="1531" t="n"/>
      <c r="M11" s="751" t="n"/>
      <c r="N11" s="1531" t="n"/>
      <c r="O11" s="1527" t="n"/>
    </row>
    <row r="12">
      <c r="A12" s="750" t="n"/>
      <c r="B12" s="749" t="n"/>
      <c r="E12" s="1531" t="n"/>
      <c r="H12" s="1531" t="n"/>
      <c r="K12" s="1531" t="n"/>
      <c r="M12" s="751" t="n"/>
      <c r="N12" s="1531" t="n"/>
      <c r="O12" s="1527" t="n"/>
    </row>
    <row r="13">
      <c r="A13" s="750" t="n"/>
      <c r="B13" s="749" t="n"/>
      <c r="E13" s="1531" t="n"/>
      <c r="H13" s="1531" t="n"/>
      <c r="K13" s="1531" t="n"/>
      <c r="M13" s="751" t="n"/>
      <c r="N13" s="1531" t="n"/>
      <c r="O13" s="1527" t="n"/>
    </row>
    <row r="14">
      <c r="A14" s="750" t="n"/>
      <c r="B14" s="749" t="n"/>
      <c r="E14" s="1531" t="n"/>
      <c r="H14" s="1531" t="n"/>
      <c r="K14" s="1531" t="n"/>
      <c r="M14" s="751" t="n"/>
      <c r="N14" s="1531" t="n"/>
      <c r="O14" s="1527" t="n"/>
    </row>
    <row r="15">
      <c r="A15" s="750" t="n"/>
      <c r="B15" s="749" t="n"/>
      <c r="E15" s="1531" t="n"/>
      <c r="H15" s="1531" t="n"/>
      <c r="K15" s="1531" t="n"/>
      <c r="M15" s="751" t="n"/>
      <c r="N15" s="1531" t="n"/>
      <c r="O15" s="1527" t="n"/>
    </row>
    <row r="16">
      <c r="A16" s="750" t="n"/>
      <c r="B16" s="749" t="n"/>
      <c r="E16" s="1531" t="n"/>
      <c r="H16" s="1531" t="n"/>
      <c r="K16" s="1531" t="n"/>
      <c r="M16" s="751" t="n"/>
      <c r="N16" s="1531" t="n"/>
      <c r="O16" s="1527" t="n"/>
    </row>
    <row r="17">
      <c r="A17" s="750" t="n"/>
      <c r="B17" s="749" t="n"/>
      <c r="E17" s="1531" t="n"/>
      <c r="H17" s="1531" t="n"/>
      <c r="K17" s="1531" t="n"/>
      <c r="M17" s="751" t="n"/>
      <c r="N17" s="1531" t="n"/>
      <c r="O17" s="1527" t="n"/>
    </row>
    <row r="18">
      <c r="A18" s="750" t="n"/>
      <c r="B18" s="749" t="n"/>
      <c r="E18" s="1531" t="n"/>
      <c r="H18" s="1531" t="n"/>
      <c r="K18" s="1531" t="n"/>
      <c r="M18" s="751" t="n"/>
      <c r="N18" s="1532" t="n"/>
      <c r="O18" s="1527" t="n"/>
    </row>
    <row r="19">
      <c r="A19" s="957" t="n"/>
      <c r="B19" s="970" t="n"/>
      <c r="C19" s="971" t="n"/>
      <c r="D19" s="971" t="n"/>
      <c r="E19" s="1533" t="n"/>
      <c r="F19" s="1534" t="n"/>
      <c r="G19" s="974" t="n"/>
      <c r="H19" s="1533" t="n"/>
      <c r="I19" s="1534" t="n"/>
      <c r="J19" s="974" t="n"/>
      <c r="K19" s="1533" t="n"/>
      <c r="L19" s="1534" t="n"/>
      <c r="M19" s="974" t="n"/>
      <c r="N19" s="1535" t="n"/>
      <c r="O19" s="1536" t="n"/>
    </row>
    <row r="20">
      <c r="B20" s="749" t="n"/>
      <c r="N20" s="1526" t="n"/>
      <c r="O20" s="1527" t="n"/>
    </row>
    <row r="21">
      <c r="B21" s="749" t="n"/>
      <c r="N21" s="1526" t="n"/>
      <c r="O21" s="1527" t="n"/>
    </row>
    <row r="22">
      <c r="B22" s="749" t="n"/>
      <c r="E22" s="1531" t="n"/>
      <c r="H22" s="1531" t="n"/>
      <c r="K22" s="1531" t="n"/>
      <c r="M22" s="751" t="n"/>
      <c r="N22" s="1531" t="n"/>
      <c r="O22" s="1527" t="n"/>
    </row>
    <row r="23">
      <c r="B23" s="749" t="n"/>
      <c r="E23" s="1531" t="n"/>
      <c r="H23" s="1531" t="n"/>
      <c r="K23" s="1531" t="n"/>
      <c r="M23" s="751" t="n"/>
      <c r="N23" s="1531" t="n"/>
      <c r="O23" s="1527" t="n"/>
    </row>
    <row r="24">
      <c r="B24" s="749" t="n"/>
      <c r="E24" s="1531" t="n"/>
      <c r="H24" s="1531" t="n"/>
      <c r="K24" s="1531" t="n"/>
      <c r="M24" s="751" t="n"/>
      <c r="N24" s="1531" t="n"/>
      <c r="O24" s="1527" t="n"/>
    </row>
    <row r="25">
      <c r="B25" s="749" t="n"/>
      <c r="E25" s="1531" t="n"/>
      <c r="H25" s="1531" t="n"/>
      <c r="K25" s="1531" t="n"/>
      <c r="M25" s="751" t="n"/>
      <c r="N25" s="1532" t="n"/>
      <c r="O25" s="1527" t="n"/>
    </row>
    <row r="26">
      <c r="A26" s="957" t="n"/>
      <c r="B26" s="970" t="n"/>
      <c r="C26" s="971" t="n"/>
      <c r="D26" s="971" t="n"/>
      <c r="E26" s="1533" t="n"/>
      <c r="F26" s="1534" t="n"/>
      <c r="G26" s="974" t="n"/>
      <c r="H26" s="1533" t="n"/>
      <c r="I26" s="1534" t="n"/>
      <c r="J26" s="974" t="n"/>
      <c r="K26" s="1533" t="n"/>
      <c r="L26" s="1534" t="n"/>
      <c r="M26" s="974" t="n"/>
      <c r="N26" s="1535" t="n"/>
      <c r="O26" s="1536" t="n"/>
    </row>
    <row r="27">
      <c r="B27" s="749" t="n"/>
      <c r="N27" s="1526" t="n"/>
      <c r="O27" s="1527" t="n"/>
    </row>
    <row r="28">
      <c r="B28" s="749" t="n"/>
      <c r="E28" s="1531" t="n"/>
      <c r="H28" s="1531" t="n"/>
      <c r="K28" s="1531" t="n"/>
      <c r="M28" s="751" t="n"/>
      <c r="N28" s="1531" t="n"/>
      <c r="O28" s="1527" t="n"/>
    </row>
    <row r="29">
      <c r="B29" s="749" t="n"/>
      <c r="E29" s="1531" t="n"/>
      <c r="H29" s="1531" t="n"/>
      <c r="K29" s="1531" t="n"/>
      <c r="M29" s="751" t="n"/>
      <c r="N29" s="1531" t="n"/>
      <c r="O29" s="1527" t="n"/>
    </row>
    <row r="30">
      <c r="B30" s="749" t="n"/>
      <c r="E30" s="1531" t="n"/>
      <c r="H30" s="1531" t="n"/>
      <c r="K30" s="1531" t="n"/>
      <c r="M30" s="751" t="n"/>
      <c r="N30" s="1531" t="n"/>
      <c r="O30" s="1527" t="n"/>
    </row>
    <row r="31">
      <c r="A31" s="957" t="n"/>
      <c r="B31" s="970" t="n"/>
      <c r="C31" s="971" t="n"/>
      <c r="D31" s="971" t="n"/>
      <c r="E31" s="1533" t="n"/>
      <c r="F31" s="1534" t="n"/>
      <c r="G31" s="974" t="n"/>
      <c r="H31" s="1533" t="n"/>
      <c r="I31" s="1534" t="n"/>
      <c r="J31" s="974" t="n"/>
      <c r="K31" s="1533" t="n"/>
      <c r="L31" s="1534" t="n"/>
      <c r="M31" s="974" t="n"/>
      <c r="N31" s="1535" t="n"/>
      <c r="O31" s="1536" t="n"/>
    </row>
    <row r="32">
      <c r="B32" s="749" t="n"/>
      <c r="N32" s="1526" t="n"/>
      <c r="O32" s="1527" t="n"/>
    </row>
    <row r="33" ht="15.75" customHeight="1" thickBot="1">
      <c r="A33" s="957" t="n"/>
      <c r="B33" s="963" t="n"/>
      <c r="C33" s="964" t="n"/>
      <c r="D33" s="964" t="n"/>
      <c r="E33" s="1528" t="n"/>
      <c r="F33" s="1537" t="n"/>
      <c r="G33" s="966" t="n"/>
      <c r="H33" s="1528" t="n"/>
      <c r="I33" s="1537" t="n"/>
      <c r="J33" s="966" t="n"/>
      <c r="K33" s="1528" t="n"/>
      <c r="L33" s="1537" t="n"/>
      <c r="M33" s="966" t="n"/>
      <c r="N33" s="1529" t="n"/>
      <c r="O33" s="1538" t="n"/>
    </row>
    <row r="34" ht="15.75" customHeight="1" thickTop="1">
      <c r="A34" s="957" t="n"/>
      <c r="B34" s="979" t="n"/>
      <c r="C34" s="980" t="n"/>
      <c r="D34" s="980" t="n"/>
      <c r="E34" s="1539" t="n"/>
      <c r="F34" s="1539" t="n"/>
      <c r="G34" s="957" t="n"/>
      <c r="H34" s="1539" t="n"/>
      <c r="I34" s="1539" t="n"/>
      <c r="J34" s="957" t="n"/>
      <c r="K34" s="1539" t="n"/>
      <c r="L34" s="1539" t="n"/>
      <c r="M34" s="957" t="n"/>
      <c r="N34" s="1540" t="n"/>
      <c r="O34" s="1541" t="n"/>
    </row>
    <row r="35">
      <c r="A35" s="957" t="n"/>
      <c r="B35" s="963" t="n"/>
      <c r="C35" s="964" t="n"/>
      <c r="D35" s="964" t="n"/>
      <c r="E35" s="1528" t="n"/>
      <c r="F35" s="1542" t="n"/>
      <c r="G35" s="966" t="n"/>
      <c r="H35" s="1528" t="n"/>
      <c r="I35" s="1542" t="n"/>
      <c r="J35" s="966" t="n"/>
      <c r="K35" s="1528" t="n"/>
      <c r="L35" s="1542" t="n"/>
      <c r="M35" s="966" t="n"/>
      <c r="N35" s="1529" t="n"/>
      <c r="O35" s="1543" t="n"/>
    </row>
    <row r="36" ht="15.75" customHeight="1" thickBot="1">
      <c r="B36" s="986" t="n"/>
      <c r="C36" s="987" t="n"/>
      <c r="D36" s="987" t="n"/>
      <c r="E36" s="1544" t="n"/>
      <c r="F36" s="1544" t="n"/>
      <c r="G36" s="754" t="n"/>
      <c r="H36" s="1544" t="n"/>
      <c r="I36" s="1544" t="n"/>
      <c r="J36" s="754" t="n"/>
      <c r="K36" s="1544" t="n"/>
      <c r="L36" s="1544" t="n"/>
      <c r="M36" s="754" t="n"/>
      <c r="N36" s="1545" t="n"/>
      <c r="O36" s="1546" t="n"/>
    </row>
    <row r="37"/>
    <row r="38">
      <c r="B38" s="991" t="n"/>
      <c r="C38" s="992" t="n"/>
      <c r="D38" s="992" t="n"/>
      <c r="E38" s="1547" t="n"/>
      <c r="F38" s="1547">
        <f>'[1]Consol BS Month'!D24+'[1]Consol BS Month'!D25</f>
        <v/>
      </c>
      <c r="H38" s="1547" t="n"/>
      <c r="I38" s="1547">
        <f>'[1]Consol BS Month'!F24+'[1]Consol BS Month'!F25</f>
        <v/>
      </c>
      <c r="K38" s="1547" t="n"/>
      <c r="L38" s="1547">
        <f>'[1]Consol BS Month'!G24+'[1]Consol BS Month'!G25</f>
        <v/>
      </c>
      <c r="N38" s="1547" t="n"/>
      <c r="O38" s="1547">
        <f>'[1]Consol BS Month'!I24+'[1]Consol BS Month'!I25</f>
        <v/>
      </c>
    </row>
    <row r="39">
      <c r="B39" s="991" t="n"/>
      <c r="C39" s="992" t="n"/>
      <c r="D39" s="992" t="n"/>
      <c r="E39" s="1548" t="n"/>
      <c r="F39" s="1548">
        <f>F33-F38</f>
        <v/>
      </c>
      <c r="G39" s="1548" t="n"/>
      <c r="H39" s="1548" t="n"/>
      <c r="I39" s="1548">
        <f>I33-I38</f>
        <v/>
      </c>
      <c r="J39" s="1548" t="n"/>
      <c r="K39" s="1548" t="n"/>
      <c r="L39" s="1548">
        <f>L33-L38</f>
        <v/>
      </c>
      <c r="M39" s="1548" t="n"/>
      <c r="N39" s="1548" t="n"/>
      <c r="O39" s="1548">
        <f>O33-O38</f>
        <v/>
      </c>
    </row>
    <row r="40">
      <c r="E40" s="1548" t="n"/>
      <c r="F40" s="1548" t="n"/>
      <c r="G40" s="1548" t="n"/>
      <c r="H40" s="1548" t="n"/>
      <c r="I40" s="1548" t="n"/>
      <c r="J40" s="1548" t="n"/>
      <c r="K40" s="1548" t="n"/>
      <c r="L40" s="1548" t="n"/>
      <c r="M40" s="1548" t="n"/>
      <c r="N40" s="1548" t="n"/>
      <c r="O40" s="1548" t="n"/>
    </row>
  </sheetData>
  <mergeCells count="4">
    <mergeCell ref="N1:O1"/>
    <mergeCell ref="E1:F1"/>
    <mergeCell ref="K1:L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Rachel@blixtgroup.com</dc:creator>
  <dcterms:created xsi:type="dcterms:W3CDTF">2012-07-23T18:32:00Z</dcterms:created>
  <dcterms:modified xsi:type="dcterms:W3CDTF">2026-05-27T17:24:41Z</dcterms:modified>
  <cp:lastModifiedBy>Peter Aruffo</cp:lastModifiedBy>
  <cp:lastPrinted>2024-04-23T12:15:39Z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0x0101005D7484F9F1BD50448843EAE1C931EB1B</vt:lpwstr>
  </property>
  <property name="MediaServiceImageTags" fmtid="{D5CDD505-2E9C-101B-9397-08002B2CF9AE}" pid="3">
    <vt:lpwstr/>
  </property>
  <property name="{A44787D4-0540-4523-9961-78E4036D8C6D}" fmtid="{D5CDD505-2E9C-101B-9397-08002B2CF9AE}" pid="4">
    <vt:lpwstr>{F1F24735-40BC-454A-8515-51F99B27C9D5}</vt:lpwstr>
  </property>
</Properties>
</file>